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eterson\Downloads\"/>
    </mc:Choice>
  </mc:AlternateContent>
  <xr:revisionPtr revIDLastSave="0" documentId="13_ncr:9_{E11D01ED-A7DA-4644-B01E-27081C142EF8}" xr6:coauthVersionLast="47" xr6:coauthVersionMax="47" xr10:uidLastSave="{00000000-0000-0000-0000-000000000000}"/>
  <bookViews>
    <workbookView xWindow="-120" yWindow="-120" windowWidth="29040" windowHeight="17520" activeTab="1" xr2:uid="{D7C47945-6A7F-4948-815E-5483C047299C}"/>
  </bookViews>
  <sheets>
    <sheet name="Pivot" sheetId="2" r:id="rId1"/>
    <sheet name="import_BRC_debug" sheetId="1" r:id="rId2"/>
  </sheets>
  <definedNames>
    <definedName name="_xlnm._FilterDatabase" localSheetId="1" hidden="1">import_BRC_debug!$A$2:$AR$610</definedName>
  </definedNames>
  <calcPr calcId="0"/>
  <pivotCaches>
    <pivotCache cacheId="87" r:id="rId3"/>
  </pivotCaches>
</workbook>
</file>

<file path=xl/calcChain.xml><?xml version="1.0" encoding="utf-8"?>
<calcChain xmlns="http://schemas.openxmlformats.org/spreadsheetml/2006/main">
  <c r="AJ610" i="1" l="1"/>
  <c r="AJ609" i="1"/>
  <c r="AJ608" i="1"/>
  <c r="AJ607" i="1"/>
  <c r="AL607" i="1" s="1"/>
  <c r="AJ606" i="1"/>
  <c r="AL606" i="1" s="1"/>
  <c r="AJ605" i="1"/>
  <c r="AL605" i="1" s="1"/>
  <c r="AJ604" i="1"/>
  <c r="AL604" i="1" s="1"/>
  <c r="AJ603" i="1"/>
  <c r="AL603" i="1" s="1"/>
  <c r="AJ602" i="1"/>
  <c r="AL602" i="1" s="1"/>
  <c r="AJ601" i="1"/>
  <c r="AL601" i="1" s="1"/>
  <c r="AJ600" i="1"/>
  <c r="AL600" i="1" s="1"/>
  <c r="AJ599" i="1"/>
  <c r="AL599" i="1" s="1"/>
  <c r="AJ598" i="1"/>
  <c r="AL598" i="1" s="1"/>
  <c r="AJ597" i="1"/>
  <c r="AL597" i="1" s="1"/>
  <c r="AJ596" i="1"/>
  <c r="AJ595" i="1"/>
  <c r="AJ594" i="1"/>
  <c r="AJ593" i="1"/>
  <c r="AJ592" i="1"/>
  <c r="AL592" i="1" s="1"/>
  <c r="AJ591" i="1"/>
  <c r="AL591" i="1" s="1"/>
  <c r="AJ590" i="1"/>
  <c r="AL590" i="1" s="1"/>
  <c r="AJ589" i="1"/>
  <c r="AL589" i="1" s="1"/>
  <c r="AJ588" i="1"/>
  <c r="AL588" i="1" s="1"/>
  <c r="AJ587" i="1"/>
  <c r="AL587" i="1" s="1"/>
  <c r="AJ586" i="1"/>
  <c r="AL586" i="1" s="1"/>
  <c r="AJ585" i="1"/>
  <c r="AL585" i="1" s="1"/>
  <c r="AJ584" i="1"/>
  <c r="AJ583" i="1"/>
  <c r="AL583" i="1" s="1"/>
  <c r="AJ582" i="1"/>
  <c r="AJ581" i="1"/>
  <c r="AJ580" i="1"/>
  <c r="AJ579" i="1"/>
  <c r="AJ578" i="1"/>
  <c r="AL578" i="1" s="1"/>
  <c r="AJ577" i="1"/>
  <c r="AL577" i="1" s="1"/>
  <c r="AJ576" i="1"/>
  <c r="AL576" i="1" s="1"/>
  <c r="AJ575" i="1"/>
  <c r="AL575" i="1" s="1"/>
  <c r="AJ574" i="1"/>
  <c r="AL574" i="1" s="1"/>
  <c r="AJ573" i="1"/>
  <c r="AL573" i="1" s="1"/>
  <c r="AJ572" i="1"/>
  <c r="AL572" i="1" s="1"/>
  <c r="AJ571" i="1"/>
  <c r="AL571" i="1" s="1"/>
  <c r="AJ570" i="1"/>
  <c r="AL570" i="1" s="1"/>
  <c r="AJ569" i="1"/>
  <c r="AL569" i="1" s="1"/>
  <c r="AJ568" i="1"/>
  <c r="AJ567" i="1"/>
  <c r="AJ566" i="1"/>
  <c r="AJ565" i="1"/>
  <c r="AJ564" i="1"/>
  <c r="AJ563" i="1"/>
  <c r="AL563" i="1" s="1"/>
  <c r="AJ562" i="1"/>
  <c r="AL562" i="1" s="1"/>
  <c r="AJ561" i="1"/>
  <c r="AL561" i="1" s="1"/>
  <c r="AJ560" i="1"/>
  <c r="AL560" i="1" s="1"/>
  <c r="AP560" i="1" s="1"/>
  <c r="AJ559" i="1"/>
  <c r="AL559" i="1" s="1"/>
  <c r="AJ558" i="1"/>
  <c r="AL558" i="1" s="1"/>
  <c r="AJ557" i="1"/>
  <c r="AL557" i="1" s="1"/>
  <c r="AJ556" i="1"/>
  <c r="AL556" i="1" s="1"/>
  <c r="AJ555" i="1"/>
  <c r="AL555" i="1" s="1"/>
  <c r="AJ554" i="1"/>
  <c r="AJ553" i="1"/>
  <c r="AJ552" i="1"/>
  <c r="AJ551" i="1"/>
  <c r="AJ550" i="1"/>
  <c r="AL550" i="1" s="1"/>
  <c r="AJ549" i="1"/>
  <c r="AL549" i="1" s="1"/>
  <c r="AJ548" i="1"/>
  <c r="AL548" i="1" s="1"/>
  <c r="AJ547" i="1"/>
  <c r="AL547" i="1" s="1"/>
  <c r="AJ546" i="1"/>
  <c r="AL546" i="1" s="1"/>
  <c r="AJ545" i="1"/>
  <c r="AL545" i="1" s="1"/>
  <c r="AJ544" i="1"/>
  <c r="AL544" i="1" s="1"/>
  <c r="AJ543" i="1"/>
  <c r="AL543" i="1" s="1"/>
  <c r="AJ542" i="1"/>
  <c r="AL542" i="1" s="1"/>
  <c r="AJ541" i="1"/>
  <c r="AL541" i="1" s="1"/>
  <c r="AJ540" i="1"/>
  <c r="AJ539" i="1"/>
  <c r="AJ538" i="1"/>
  <c r="AJ537" i="1"/>
  <c r="AJ536" i="1"/>
  <c r="AL536" i="1" s="1"/>
  <c r="AP536" i="1" s="1"/>
  <c r="AJ535" i="1"/>
  <c r="AL535" i="1" s="1"/>
  <c r="AJ534" i="1"/>
  <c r="AL534" i="1" s="1"/>
  <c r="AJ533" i="1"/>
  <c r="AL533" i="1" s="1"/>
  <c r="AJ532" i="1"/>
  <c r="AL532" i="1" s="1"/>
  <c r="AJ531" i="1"/>
  <c r="AL531" i="1" s="1"/>
  <c r="AJ530" i="1"/>
  <c r="AL530" i="1" s="1"/>
  <c r="AJ529" i="1"/>
  <c r="AL529" i="1" s="1"/>
  <c r="AJ528" i="1"/>
  <c r="AJ527" i="1"/>
  <c r="AL527" i="1" s="1"/>
  <c r="AJ526" i="1"/>
  <c r="AJ525" i="1"/>
  <c r="AJ524" i="1"/>
  <c r="AJ523" i="1"/>
  <c r="AJ522" i="1"/>
  <c r="AL522" i="1" s="1"/>
  <c r="AJ521" i="1"/>
  <c r="AL521" i="1" s="1"/>
  <c r="AJ520" i="1"/>
  <c r="AL520" i="1" s="1"/>
  <c r="AJ519" i="1"/>
  <c r="AL519" i="1" s="1"/>
  <c r="AJ518" i="1"/>
  <c r="AL518" i="1" s="1"/>
  <c r="AJ517" i="1"/>
  <c r="AL517" i="1" s="1"/>
  <c r="AJ516" i="1"/>
  <c r="AL516" i="1" s="1"/>
  <c r="AJ515" i="1"/>
  <c r="AL515" i="1" s="1"/>
  <c r="AJ514" i="1"/>
  <c r="AL514" i="1" s="1"/>
  <c r="AJ513" i="1"/>
  <c r="AL513" i="1" s="1"/>
  <c r="AJ512" i="1"/>
  <c r="AJ511" i="1"/>
  <c r="AJ510" i="1"/>
  <c r="AJ509" i="1"/>
  <c r="AJ508" i="1"/>
  <c r="AL508" i="1" s="1"/>
  <c r="AJ507" i="1"/>
  <c r="AL507" i="1" s="1"/>
  <c r="AJ506" i="1"/>
  <c r="AL506" i="1" s="1"/>
  <c r="AJ505" i="1"/>
  <c r="AL505" i="1" s="1"/>
  <c r="AJ504" i="1"/>
  <c r="AL504" i="1" s="1"/>
  <c r="AJ503" i="1"/>
  <c r="AL503" i="1" s="1"/>
  <c r="AJ502" i="1"/>
  <c r="AL502" i="1" s="1"/>
  <c r="AJ501" i="1"/>
  <c r="AL501" i="1" s="1"/>
  <c r="AP501" i="1" s="1"/>
  <c r="AJ500" i="1"/>
  <c r="AJ499" i="1"/>
  <c r="AL499" i="1" s="1"/>
  <c r="AJ498" i="1"/>
  <c r="AJ497" i="1"/>
  <c r="AJ496" i="1"/>
  <c r="AJ495" i="1"/>
  <c r="AJ494" i="1"/>
  <c r="AL494" i="1" s="1"/>
  <c r="AJ493" i="1"/>
  <c r="AL493" i="1" s="1"/>
  <c r="AJ492" i="1"/>
  <c r="AL492" i="1" s="1"/>
  <c r="AJ491" i="1"/>
  <c r="AL491" i="1" s="1"/>
  <c r="AJ490" i="1"/>
  <c r="AL490" i="1" s="1"/>
  <c r="AJ489" i="1"/>
  <c r="AL489" i="1" s="1"/>
  <c r="AJ488" i="1"/>
  <c r="AL488" i="1" s="1"/>
  <c r="AJ487" i="1"/>
  <c r="AL487" i="1" s="1"/>
  <c r="AJ486" i="1"/>
  <c r="AL486" i="1" s="1"/>
  <c r="AJ485" i="1"/>
  <c r="AL485" i="1" s="1"/>
  <c r="AJ484" i="1"/>
  <c r="AJ483" i="1"/>
  <c r="AJ482" i="1"/>
  <c r="AJ481" i="1"/>
  <c r="AL481" i="1" s="1"/>
  <c r="AJ480" i="1"/>
  <c r="AL480" i="1" s="1"/>
  <c r="AJ479" i="1"/>
  <c r="AL479" i="1" s="1"/>
  <c r="AJ478" i="1"/>
  <c r="AL478" i="1" s="1"/>
  <c r="AJ477" i="1"/>
  <c r="AL477" i="1" s="1"/>
  <c r="AJ476" i="1"/>
  <c r="AL476" i="1" s="1"/>
  <c r="AJ475" i="1"/>
  <c r="AL475" i="1" s="1"/>
  <c r="AJ474" i="1"/>
  <c r="AL474" i="1" s="1"/>
  <c r="AJ473" i="1"/>
  <c r="AL473" i="1" s="1"/>
  <c r="AJ472" i="1"/>
  <c r="AL472" i="1" s="1"/>
  <c r="AJ471" i="1"/>
  <c r="AL471" i="1" s="1"/>
  <c r="AJ470" i="1"/>
  <c r="AJ469" i="1"/>
  <c r="AJ468" i="1"/>
  <c r="AJ467" i="1"/>
  <c r="AJ466" i="1"/>
  <c r="AL466" i="1" s="1"/>
  <c r="AJ465" i="1"/>
  <c r="AL465" i="1" s="1"/>
  <c r="AJ464" i="1"/>
  <c r="AL464" i="1" s="1"/>
  <c r="AJ463" i="1"/>
  <c r="AL463" i="1" s="1"/>
  <c r="AJ462" i="1"/>
  <c r="AL462" i="1" s="1"/>
  <c r="AJ461" i="1"/>
  <c r="AL461" i="1" s="1"/>
  <c r="AJ460" i="1"/>
  <c r="AL460" i="1" s="1"/>
  <c r="AJ459" i="1"/>
  <c r="AL459" i="1" s="1"/>
  <c r="AJ458" i="1"/>
  <c r="AL458" i="1" s="1"/>
  <c r="AJ457" i="1"/>
  <c r="AL457" i="1" s="1"/>
  <c r="AJ456" i="1"/>
  <c r="AJ455" i="1"/>
  <c r="AJ454" i="1"/>
  <c r="AJ453" i="1"/>
  <c r="AJ452" i="1"/>
  <c r="AJ451" i="1"/>
  <c r="AL451" i="1" s="1"/>
  <c r="AJ450" i="1"/>
  <c r="AL450" i="1" s="1"/>
  <c r="AJ449" i="1"/>
  <c r="AL449" i="1" s="1"/>
  <c r="AJ448" i="1"/>
  <c r="AL448" i="1" s="1"/>
  <c r="AJ447" i="1"/>
  <c r="AL447" i="1" s="1"/>
  <c r="AJ446" i="1"/>
  <c r="AL446" i="1" s="1"/>
  <c r="AJ445" i="1"/>
  <c r="AL445" i="1" s="1"/>
  <c r="AP445" i="1" s="1"/>
  <c r="AJ444" i="1"/>
  <c r="AL444" i="1" s="1"/>
  <c r="AJ443" i="1"/>
  <c r="AL443" i="1" s="1"/>
  <c r="AJ442" i="1"/>
  <c r="AJ441" i="1"/>
  <c r="AJ440" i="1"/>
  <c r="AL440" i="1" s="1"/>
  <c r="AJ439" i="1"/>
  <c r="AJ438" i="1"/>
  <c r="AL438" i="1" s="1"/>
  <c r="AJ437" i="1"/>
  <c r="AL437" i="1" s="1"/>
  <c r="AJ436" i="1"/>
  <c r="AL436" i="1" s="1"/>
  <c r="AJ435" i="1"/>
  <c r="AL435" i="1" s="1"/>
  <c r="AJ434" i="1"/>
  <c r="AL434" i="1" s="1"/>
  <c r="AJ433" i="1"/>
  <c r="AL433" i="1" s="1"/>
  <c r="AJ432" i="1"/>
  <c r="AL432" i="1" s="1"/>
  <c r="AJ431" i="1"/>
  <c r="AL431" i="1" s="1"/>
  <c r="AJ430" i="1"/>
  <c r="AL430" i="1" s="1"/>
  <c r="AJ429" i="1"/>
  <c r="AL429" i="1" s="1"/>
  <c r="AJ428" i="1"/>
  <c r="AJ427" i="1"/>
  <c r="AJ426" i="1"/>
  <c r="AJ425" i="1"/>
  <c r="AJ424" i="1"/>
  <c r="AL424" i="1" s="1"/>
  <c r="AJ423" i="1"/>
  <c r="AL423" i="1" s="1"/>
  <c r="AJ422" i="1"/>
  <c r="AL422" i="1" s="1"/>
  <c r="AJ421" i="1"/>
  <c r="AL421" i="1" s="1"/>
  <c r="AJ420" i="1"/>
  <c r="AL420" i="1" s="1"/>
  <c r="AJ419" i="1"/>
  <c r="AL419" i="1" s="1"/>
  <c r="AJ418" i="1"/>
  <c r="AL418" i="1" s="1"/>
  <c r="AJ417" i="1"/>
  <c r="AL417" i="1" s="1"/>
  <c r="AP417" i="1" s="1"/>
  <c r="AJ416" i="1"/>
  <c r="AL416" i="1" s="1"/>
  <c r="AJ415" i="1"/>
  <c r="AL415" i="1" s="1"/>
  <c r="AJ414" i="1"/>
  <c r="AJ413" i="1"/>
  <c r="AJ412" i="1"/>
  <c r="AL412" i="1" s="1"/>
  <c r="AJ411" i="1"/>
  <c r="AJ410" i="1"/>
  <c r="AL410" i="1" s="1"/>
  <c r="AJ409" i="1"/>
  <c r="AL409" i="1" s="1"/>
  <c r="AJ408" i="1"/>
  <c r="AL408" i="1" s="1"/>
  <c r="AJ407" i="1"/>
  <c r="AJ406" i="1"/>
  <c r="AL406" i="1" s="1"/>
  <c r="AJ405" i="1"/>
  <c r="AL405" i="1" s="1"/>
  <c r="AJ404" i="1"/>
  <c r="AL404" i="1" s="1"/>
  <c r="AJ403" i="1"/>
  <c r="AL403" i="1" s="1"/>
  <c r="AJ402" i="1"/>
  <c r="AL402" i="1" s="1"/>
  <c r="AJ401" i="1"/>
  <c r="AL401" i="1" s="1"/>
  <c r="AJ400" i="1"/>
  <c r="AJ399" i="1"/>
  <c r="AJ398" i="1"/>
  <c r="AJ397" i="1"/>
  <c r="AJ396" i="1"/>
  <c r="AL396" i="1" s="1"/>
  <c r="AJ395" i="1"/>
  <c r="AL395" i="1" s="1"/>
  <c r="AJ394" i="1"/>
  <c r="AL394" i="1" s="1"/>
  <c r="AJ393" i="1"/>
  <c r="AL393" i="1" s="1"/>
  <c r="AJ392" i="1"/>
  <c r="AL392" i="1" s="1"/>
  <c r="AJ391" i="1"/>
  <c r="AL391" i="1" s="1"/>
  <c r="AJ390" i="1"/>
  <c r="AL390" i="1" s="1"/>
  <c r="AJ389" i="1"/>
  <c r="AL389" i="1" s="1"/>
  <c r="AJ388" i="1"/>
  <c r="AL388" i="1" s="1"/>
  <c r="AJ387" i="1"/>
  <c r="AL387" i="1" s="1"/>
  <c r="AJ386" i="1"/>
  <c r="AJ385" i="1"/>
  <c r="AJ384" i="1"/>
  <c r="AJ383" i="1"/>
  <c r="AJ382" i="1"/>
  <c r="AL382" i="1" s="1"/>
  <c r="AJ381" i="1"/>
  <c r="AL381" i="1" s="1"/>
  <c r="AJ380" i="1"/>
  <c r="AL380" i="1" s="1"/>
  <c r="AJ379" i="1"/>
  <c r="AL379" i="1" s="1"/>
  <c r="AJ378" i="1"/>
  <c r="AL378" i="1" s="1"/>
  <c r="AJ377" i="1"/>
  <c r="AL377" i="1" s="1"/>
  <c r="AJ376" i="1"/>
  <c r="AL376" i="1" s="1"/>
  <c r="AJ375" i="1"/>
  <c r="AL375" i="1" s="1"/>
  <c r="AJ374" i="1"/>
  <c r="AL374" i="1" s="1"/>
  <c r="AJ373" i="1"/>
  <c r="AL373" i="1" s="1"/>
  <c r="AJ372" i="1"/>
  <c r="AJ371" i="1"/>
  <c r="AJ370" i="1"/>
  <c r="AJ369" i="1"/>
  <c r="AL369" i="1" s="1"/>
  <c r="AJ368" i="1"/>
  <c r="AL368" i="1" s="1"/>
  <c r="AJ367" i="1"/>
  <c r="AL367" i="1" s="1"/>
  <c r="AJ366" i="1"/>
  <c r="AL366" i="1" s="1"/>
  <c r="AJ365" i="1"/>
  <c r="AL365" i="1" s="1"/>
  <c r="AJ364" i="1"/>
  <c r="AL364" i="1" s="1"/>
  <c r="AJ363" i="1"/>
  <c r="AL363" i="1" s="1"/>
  <c r="AJ362" i="1"/>
  <c r="AL362" i="1" s="1"/>
  <c r="AJ361" i="1"/>
  <c r="AL361" i="1" s="1"/>
  <c r="AP361" i="1" s="1"/>
  <c r="AJ360" i="1"/>
  <c r="AL360" i="1" s="1"/>
  <c r="AJ359" i="1"/>
  <c r="AL359" i="1" s="1"/>
  <c r="AJ358" i="1"/>
  <c r="AJ357" i="1"/>
  <c r="AJ356" i="1"/>
  <c r="AJ355" i="1"/>
  <c r="AJ354" i="1"/>
  <c r="AJ353" i="1"/>
  <c r="AL353" i="1" s="1"/>
  <c r="AJ352" i="1"/>
  <c r="AL352" i="1" s="1"/>
  <c r="AJ351" i="1"/>
  <c r="AL351" i="1" s="1"/>
  <c r="AJ350" i="1"/>
  <c r="AL350" i="1" s="1"/>
  <c r="AJ349" i="1"/>
  <c r="AL349" i="1" s="1"/>
  <c r="AJ348" i="1"/>
  <c r="AL348" i="1" s="1"/>
  <c r="AJ347" i="1"/>
  <c r="AL347" i="1" s="1"/>
  <c r="AJ346" i="1"/>
  <c r="AL346" i="1" s="1"/>
  <c r="AJ345" i="1"/>
  <c r="AL345" i="1" s="1"/>
  <c r="AJ344" i="1"/>
  <c r="AJ343" i="1"/>
  <c r="AJ342" i="1"/>
  <c r="AJ341" i="1"/>
  <c r="AJ340" i="1"/>
  <c r="AL340" i="1" s="1"/>
  <c r="AJ339" i="1"/>
  <c r="AL339" i="1" s="1"/>
  <c r="AJ338" i="1"/>
  <c r="AL338" i="1" s="1"/>
  <c r="AJ337" i="1"/>
  <c r="AL337" i="1" s="1"/>
  <c r="AJ336" i="1"/>
  <c r="AL336" i="1" s="1"/>
  <c r="AJ335" i="1"/>
  <c r="AL335" i="1" s="1"/>
  <c r="AJ334" i="1"/>
  <c r="AL334" i="1" s="1"/>
  <c r="AJ333" i="1"/>
  <c r="AL333" i="1" s="1"/>
  <c r="AP333" i="1" s="1"/>
  <c r="AJ332" i="1"/>
  <c r="AJ331" i="1"/>
  <c r="AL331" i="1" s="1"/>
  <c r="AJ330" i="1"/>
  <c r="AJ329" i="1"/>
  <c r="AJ328" i="1"/>
  <c r="AL328" i="1" s="1"/>
  <c r="AJ327" i="1"/>
  <c r="AJ326" i="1"/>
  <c r="AL326" i="1" s="1"/>
  <c r="AJ325" i="1"/>
  <c r="AL325" i="1" s="1"/>
  <c r="AJ324" i="1"/>
  <c r="AL324" i="1" s="1"/>
  <c r="AJ323" i="1"/>
  <c r="AL323" i="1" s="1"/>
  <c r="AJ322" i="1"/>
  <c r="AL322" i="1" s="1"/>
  <c r="AJ321" i="1"/>
  <c r="AL321" i="1" s="1"/>
  <c r="AJ320" i="1"/>
  <c r="AL320" i="1" s="1"/>
  <c r="AJ319" i="1"/>
  <c r="AL319" i="1" s="1"/>
  <c r="AP319" i="1" s="1"/>
  <c r="AJ318" i="1"/>
  <c r="AL318" i="1" s="1"/>
  <c r="AJ317" i="1"/>
  <c r="AL317" i="1" s="1"/>
  <c r="AJ316" i="1"/>
  <c r="AJ315" i="1"/>
  <c r="AJ314" i="1"/>
  <c r="AJ313" i="1"/>
  <c r="AL313" i="1" s="1"/>
  <c r="AJ312" i="1"/>
  <c r="AL312" i="1" s="1"/>
  <c r="AJ311" i="1"/>
  <c r="AL311" i="1" s="1"/>
  <c r="AJ310" i="1"/>
  <c r="AL310" i="1" s="1"/>
  <c r="AJ309" i="1"/>
  <c r="AJ308" i="1"/>
  <c r="AL308" i="1" s="1"/>
  <c r="AJ307" i="1"/>
  <c r="AL307" i="1" s="1"/>
  <c r="AJ306" i="1"/>
  <c r="AL306" i="1" s="1"/>
  <c r="AJ305" i="1"/>
  <c r="AL305" i="1" s="1"/>
  <c r="AJ304" i="1"/>
  <c r="AL304" i="1" s="1"/>
  <c r="AJ303" i="1"/>
  <c r="AL303" i="1" s="1"/>
  <c r="AJ302" i="1"/>
  <c r="AJ301" i="1"/>
  <c r="AJ300" i="1"/>
  <c r="AJ299" i="1"/>
  <c r="AJ298" i="1"/>
  <c r="AL298" i="1" s="1"/>
  <c r="AJ297" i="1"/>
  <c r="AL297" i="1" s="1"/>
  <c r="AJ296" i="1"/>
  <c r="AL296" i="1" s="1"/>
  <c r="AJ295" i="1"/>
  <c r="AL295" i="1" s="1"/>
  <c r="AJ294" i="1"/>
  <c r="AL294" i="1" s="1"/>
  <c r="AJ293" i="1"/>
  <c r="AL293" i="1" s="1"/>
  <c r="AJ292" i="1"/>
  <c r="AL292" i="1" s="1"/>
  <c r="AJ291" i="1"/>
  <c r="AL291" i="1" s="1"/>
  <c r="AP291" i="1" s="1"/>
  <c r="AJ290" i="1"/>
  <c r="AL290" i="1" s="1"/>
  <c r="AJ289" i="1"/>
  <c r="AL289" i="1" s="1"/>
  <c r="AJ288" i="1"/>
  <c r="AJ287" i="1"/>
  <c r="AJ286" i="1"/>
  <c r="AJ285" i="1"/>
  <c r="AL285" i="1" s="1"/>
  <c r="AJ284" i="1"/>
  <c r="AL284" i="1" s="1"/>
  <c r="AJ283" i="1"/>
  <c r="AL283" i="1" s="1"/>
  <c r="AJ282" i="1"/>
  <c r="AL282" i="1" s="1"/>
  <c r="AJ281" i="1"/>
  <c r="AL281" i="1" s="1"/>
  <c r="AJ280" i="1"/>
  <c r="AL280" i="1" s="1"/>
  <c r="AJ279" i="1"/>
  <c r="AL279" i="1" s="1"/>
  <c r="AJ278" i="1"/>
  <c r="AL278" i="1" s="1"/>
  <c r="AJ277" i="1"/>
  <c r="AL277" i="1" s="1"/>
  <c r="AJ276" i="1"/>
  <c r="AL276" i="1" s="1"/>
  <c r="AJ275" i="1"/>
  <c r="AL275" i="1" s="1"/>
  <c r="AJ274" i="1"/>
  <c r="AJ273" i="1"/>
  <c r="AJ272" i="1"/>
  <c r="AL272" i="1" s="1"/>
  <c r="AJ271" i="1"/>
  <c r="AJ270" i="1"/>
  <c r="AL270" i="1" s="1"/>
  <c r="AJ269" i="1"/>
  <c r="AL269" i="1" s="1"/>
  <c r="AJ268" i="1"/>
  <c r="AL268" i="1" s="1"/>
  <c r="AJ267" i="1"/>
  <c r="AL267" i="1" s="1"/>
  <c r="AJ266" i="1"/>
  <c r="AL266" i="1" s="1"/>
  <c r="AJ265" i="1"/>
  <c r="AL265" i="1" s="1"/>
  <c r="AJ264" i="1"/>
  <c r="AL264" i="1" s="1"/>
  <c r="AJ263" i="1"/>
  <c r="AL263" i="1" s="1"/>
  <c r="AJ262" i="1"/>
  <c r="AL262" i="1" s="1"/>
  <c r="AJ261" i="1"/>
  <c r="AL261" i="1" s="1"/>
  <c r="AJ260" i="1"/>
  <c r="AJ259" i="1"/>
  <c r="AJ258" i="1"/>
  <c r="AJ257" i="1"/>
  <c r="AJ256" i="1"/>
  <c r="AJ255" i="1"/>
  <c r="AL255" i="1" s="1"/>
  <c r="AJ254" i="1"/>
  <c r="AL254" i="1" s="1"/>
  <c r="AJ253" i="1"/>
  <c r="AL253" i="1" s="1"/>
  <c r="AJ252" i="1"/>
  <c r="AL252" i="1" s="1"/>
  <c r="AJ251" i="1"/>
  <c r="AL251" i="1" s="1"/>
  <c r="AJ250" i="1"/>
  <c r="AL250" i="1" s="1"/>
  <c r="AJ249" i="1"/>
  <c r="AL249" i="1" s="1"/>
  <c r="AJ248" i="1"/>
  <c r="AL248" i="1" s="1"/>
  <c r="AJ247" i="1"/>
  <c r="AL247" i="1" s="1"/>
  <c r="AJ246" i="1"/>
  <c r="AJ245" i="1"/>
  <c r="AJ244" i="1"/>
  <c r="AL244" i="1" s="1"/>
  <c r="AJ243" i="1"/>
  <c r="AJ242" i="1"/>
  <c r="AL242" i="1" s="1"/>
  <c r="AJ241" i="1"/>
  <c r="AL241" i="1" s="1"/>
  <c r="AJ240" i="1"/>
  <c r="AL240" i="1" s="1"/>
  <c r="AJ239" i="1"/>
  <c r="AL239" i="1" s="1"/>
  <c r="AJ238" i="1"/>
  <c r="AL238" i="1" s="1"/>
  <c r="AJ237" i="1"/>
  <c r="AL237" i="1" s="1"/>
  <c r="AJ236" i="1"/>
  <c r="AL236" i="1" s="1"/>
  <c r="AJ235" i="1"/>
  <c r="AL235" i="1" s="1"/>
  <c r="AJ234" i="1"/>
  <c r="AL234" i="1" s="1"/>
  <c r="AJ233" i="1"/>
  <c r="AL233" i="1" s="1"/>
  <c r="AJ232" i="1"/>
  <c r="AJ231" i="1"/>
  <c r="AJ230" i="1"/>
  <c r="AJ229" i="1"/>
  <c r="AL229" i="1" s="1"/>
  <c r="AJ228" i="1"/>
  <c r="AJ227" i="1"/>
  <c r="AL227" i="1" s="1"/>
  <c r="AJ226" i="1"/>
  <c r="AL226" i="1" s="1"/>
  <c r="AJ225" i="1"/>
  <c r="AL225" i="1" s="1"/>
  <c r="AJ224" i="1"/>
  <c r="AL224" i="1" s="1"/>
  <c r="AJ223" i="1"/>
  <c r="AL223" i="1" s="1"/>
  <c r="AJ222" i="1"/>
  <c r="AL222" i="1" s="1"/>
  <c r="AJ221" i="1"/>
  <c r="AL221" i="1" s="1"/>
  <c r="AP221" i="1" s="1"/>
  <c r="AJ220" i="1"/>
  <c r="AJ219" i="1"/>
  <c r="AL219" i="1" s="1"/>
  <c r="AJ218" i="1"/>
  <c r="AJ217" i="1"/>
  <c r="AJ216" i="1"/>
  <c r="AJ215" i="1"/>
  <c r="AJ214" i="1"/>
  <c r="AL214" i="1" s="1"/>
  <c r="AJ213" i="1"/>
  <c r="AL213" i="1" s="1"/>
  <c r="AJ212" i="1"/>
  <c r="AL212" i="1" s="1"/>
  <c r="AJ211" i="1"/>
  <c r="AL211" i="1" s="1"/>
  <c r="AJ210" i="1"/>
  <c r="AL210" i="1" s="1"/>
  <c r="AJ209" i="1"/>
  <c r="AL209" i="1" s="1"/>
  <c r="AJ208" i="1"/>
  <c r="AL208" i="1" s="1"/>
  <c r="AJ207" i="1"/>
  <c r="AL207" i="1" s="1"/>
  <c r="AJ206" i="1"/>
  <c r="AL206" i="1" s="1"/>
  <c r="AJ205" i="1"/>
  <c r="AL205" i="1" s="1"/>
  <c r="AJ204" i="1"/>
  <c r="AJ203" i="1"/>
  <c r="AJ202" i="1"/>
  <c r="AJ201" i="1"/>
  <c r="AL201" i="1" s="1"/>
  <c r="AJ200" i="1"/>
  <c r="AL200" i="1" s="1"/>
  <c r="AJ199" i="1"/>
  <c r="AL199" i="1" s="1"/>
  <c r="AJ198" i="1"/>
  <c r="AL198" i="1" s="1"/>
  <c r="AJ197" i="1"/>
  <c r="AJ196" i="1"/>
  <c r="AL196" i="1" s="1"/>
  <c r="AJ195" i="1"/>
  <c r="AL195" i="1" s="1"/>
  <c r="AJ194" i="1"/>
  <c r="AL194" i="1" s="1"/>
  <c r="AJ193" i="1"/>
  <c r="AL193" i="1" s="1"/>
  <c r="AP193" i="1" s="1"/>
  <c r="AJ192" i="1"/>
  <c r="AL192" i="1" s="1"/>
  <c r="AJ191" i="1"/>
  <c r="AL191" i="1" s="1"/>
  <c r="AJ190" i="1"/>
  <c r="AJ189" i="1"/>
  <c r="AJ188" i="1"/>
  <c r="AJ187" i="1"/>
  <c r="AJ186" i="1"/>
  <c r="AJ185" i="1"/>
  <c r="AL185" i="1" s="1"/>
  <c r="AJ184" i="1"/>
  <c r="AL184" i="1" s="1"/>
  <c r="AJ183" i="1"/>
  <c r="AL183" i="1" s="1"/>
  <c r="AJ182" i="1"/>
  <c r="AL182" i="1" s="1"/>
  <c r="AJ181" i="1"/>
  <c r="AL181" i="1" s="1"/>
  <c r="AJ180" i="1"/>
  <c r="AL180" i="1" s="1"/>
  <c r="AJ179" i="1"/>
  <c r="AL179" i="1" s="1"/>
  <c r="AJ178" i="1"/>
  <c r="AL178" i="1" s="1"/>
  <c r="AJ177" i="1"/>
  <c r="AL177" i="1" s="1"/>
  <c r="AJ176" i="1"/>
  <c r="AJ175" i="1"/>
  <c r="AJ174" i="1"/>
  <c r="AJ173" i="1"/>
  <c r="AL173" i="1" s="1"/>
  <c r="AJ172" i="1"/>
  <c r="AL172" i="1" s="1"/>
  <c r="AJ171" i="1"/>
  <c r="AL171" i="1" s="1"/>
  <c r="AJ170" i="1"/>
  <c r="AL170" i="1" s="1"/>
  <c r="AJ169" i="1"/>
  <c r="AL169" i="1" s="1"/>
  <c r="AJ168" i="1"/>
  <c r="AL168" i="1" s="1"/>
  <c r="AJ167" i="1"/>
  <c r="AL167" i="1" s="1"/>
  <c r="AJ166" i="1"/>
  <c r="AL166" i="1" s="1"/>
  <c r="AJ165" i="1"/>
  <c r="AL165" i="1" s="1"/>
  <c r="AJ164" i="1"/>
  <c r="AJ163" i="1"/>
  <c r="AL163" i="1" s="1"/>
  <c r="AJ162" i="1"/>
  <c r="AJ161" i="1"/>
  <c r="AJ160" i="1"/>
  <c r="AJ159" i="1"/>
  <c r="AJ158" i="1"/>
  <c r="AL158" i="1" s="1"/>
  <c r="AJ157" i="1"/>
  <c r="AL157" i="1" s="1"/>
  <c r="AJ156" i="1"/>
  <c r="AJ155" i="1"/>
  <c r="AL155" i="1" s="1"/>
  <c r="AJ154" i="1"/>
  <c r="AL154" i="1" s="1"/>
  <c r="AJ153" i="1"/>
  <c r="AL153" i="1" s="1"/>
  <c r="AJ152" i="1"/>
  <c r="AL152" i="1" s="1"/>
  <c r="AJ151" i="1"/>
  <c r="AL151" i="1" s="1"/>
  <c r="AJ150" i="1"/>
  <c r="AL150" i="1" s="1"/>
  <c r="AJ149" i="1"/>
  <c r="AL149" i="1" s="1"/>
  <c r="AJ148" i="1"/>
  <c r="AJ147" i="1"/>
  <c r="AJ146" i="1"/>
  <c r="AJ145" i="1"/>
  <c r="AL145" i="1" s="1"/>
  <c r="AJ144" i="1"/>
  <c r="AL144" i="1" s="1"/>
  <c r="AJ143" i="1"/>
  <c r="AL143" i="1" s="1"/>
  <c r="AJ142" i="1"/>
  <c r="AL142" i="1" s="1"/>
  <c r="AJ141" i="1"/>
  <c r="AL141" i="1" s="1"/>
  <c r="AJ140" i="1"/>
  <c r="AL140" i="1" s="1"/>
  <c r="AJ139" i="1"/>
  <c r="AL139" i="1" s="1"/>
  <c r="AJ138" i="1"/>
  <c r="AL138" i="1" s="1"/>
  <c r="AJ137" i="1"/>
  <c r="AL137" i="1" s="1"/>
  <c r="AJ136" i="1"/>
  <c r="AL136" i="1" s="1"/>
  <c r="AJ135" i="1"/>
  <c r="AL135" i="1" s="1"/>
  <c r="AJ134" i="1"/>
  <c r="AJ133" i="1"/>
  <c r="AJ132" i="1"/>
  <c r="AJ131" i="1"/>
  <c r="AJ130" i="1"/>
  <c r="AL130" i="1" s="1"/>
  <c r="AJ129" i="1"/>
  <c r="AL129" i="1" s="1"/>
  <c r="AJ128" i="1"/>
  <c r="AJ127" i="1"/>
  <c r="AL127" i="1" s="1"/>
  <c r="AJ126" i="1"/>
  <c r="AL126" i="1" s="1"/>
  <c r="AJ125" i="1"/>
  <c r="AL125" i="1" s="1"/>
  <c r="AJ124" i="1"/>
  <c r="AL124" i="1" s="1"/>
  <c r="AJ123" i="1"/>
  <c r="AL123" i="1" s="1"/>
  <c r="AJ122" i="1"/>
  <c r="AL122" i="1" s="1"/>
  <c r="AJ121" i="1"/>
  <c r="AL121" i="1" s="1"/>
  <c r="AJ120" i="1"/>
  <c r="AJ119" i="1"/>
  <c r="AJ118" i="1"/>
  <c r="AJ117" i="1"/>
  <c r="AL117" i="1" s="1"/>
  <c r="AJ116" i="1"/>
  <c r="AL116" i="1" s="1"/>
  <c r="AJ115" i="1"/>
  <c r="AL115" i="1" s="1"/>
  <c r="AJ114" i="1"/>
  <c r="AL114" i="1" s="1"/>
  <c r="AJ113" i="1"/>
  <c r="AL113" i="1" s="1"/>
  <c r="AJ112" i="1"/>
  <c r="AL112" i="1" s="1"/>
  <c r="AJ111" i="1"/>
  <c r="AL111" i="1" s="1"/>
  <c r="AJ110" i="1"/>
  <c r="AL110" i="1" s="1"/>
  <c r="AJ109" i="1"/>
  <c r="AL109" i="1" s="1"/>
  <c r="AP109" i="1" s="1"/>
  <c r="AJ108" i="1"/>
  <c r="AL108" i="1" s="1"/>
  <c r="AJ107" i="1"/>
  <c r="AL107" i="1" s="1"/>
  <c r="AJ106" i="1"/>
  <c r="AJ105" i="1"/>
  <c r="AJ104" i="1"/>
  <c r="AJ103" i="1"/>
  <c r="AJ102" i="1"/>
  <c r="AL102" i="1" s="1"/>
  <c r="AJ101" i="1"/>
  <c r="AL101" i="1" s="1"/>
  <c r="AJ100" i="1"/>
  <c r="AL100" i="1" s="1"/>
  <c r="AJ99" i="1"/>
  <c r="AL99" i="1" s="1"/>
  <c r="AJ98" i="1"/>
  <c r="AL98" i="1" s="1"/>
  <c r="AJ97" i="1"/>
  <c r="AL97" i="1" s="1"/>
  <c r="AJ96" i="1"/>
  <c r="AL96" i="1" s="1"/>
  <c r="AJ95" i="1"/>
  <c r="AL95" i="1" s="1"/>
  <c r="AJ94" i="1"/>
  <c r="AL94" i="1" s="1"/>
  <c r="AJ93" i="1"/>
  <c r="AL93" i="1" s="1"/>
  <c r="AJ92" i="1"/>
  <c r="AJ91" i="1"/>
  <c r="AJ90" i="1"/>
  <c r="AJ89" i="1"/>
  <c r="AL89" i="1" s="1"/>
  <c r="AJ88" i="1"/>
  <c r="AL88" i="1" s="1"/>
  <c r="AJ87" i="1"/>
  <c r="AL87" i="1" s="1"/>
  <c r="AJ86" i="1"/>
  <c r="AL86" i="1" s="1"/>
  <c r="AJ85" i="1"/>
  <c r="AL85" i="1" s="1"/>
  <c r="AJ84" i="1"/>
  <c r="AL84" i="1" s="1"/>
  <c r="AJ83" i="1"/>
  <c r="AL83" i="1" s="1"/>
  <c r="AJ82" i="1"/>
  <c r="AL82" i="1" s="1"/>
  <c r="AJ81" i="1"/>
  <c r="AL81" i="1" s="1"/>
  <c r="AJ80" i="1"/>
  <c r="AJ79" i="1"/>
  <c r="AL79" i="1" s="1"/>
  <c r="AJ78" i="1"/>
  <c r="AJ77" i="1"/>
  <c r="AJ76" i="1"/>
  <c r="AJ75" i="1"/>
  <c r="AJ74" i="1"/>
  <c r="AL74" i="1" s="1"/>
  <c r="AJ73" i="1"/>
  <c r="AL73" i="1" s="1"/>
  <c r="AJ72" i="1"/>
  <c r="AL72" i="1" s="1"/>
  <c r="AJ71" i="1"/>
  <c r="AL71" i="1" s="1"/>
  <c r="AJ70" i="1"/>
  <c r="AL70" i="1" s="1"/>
  <c r="AJ69" i="1"/>
  <c r="AL69" i="1" s="1"/>
  <c r="AJ68" i="1"/>
  <c r="AL68" i="1" s="1"/>
  <c r="AJ67" i="1"/>
  <c r="AL67" i="1" s="1"/>
  <c r="AP67" i="1" s="1"/>
  <c r="AJ66" i="1"/>
  <c r="AL66" i="1" s="1"/>
  <c r="AJ65" i="1"/>
  <c r="AL65" i="1" s="1"/>
  <c r="AJ64" i="1"/>
  <c r="AJ63" i="1"/>
  <c r="AJ62" i="1"/>
  <c r="AJ61" i="1"/>
  <c r="AJ60" i="1"/>
  <c r="AL60" i="1" s="1"/>
  <c r="AJ59" i="1"/>
  <c r="AL59" i="1" s="1"/>
  <c r="AJ58" i="1"/>
  <c r="AL58" i="1" s="1"/>
  <c r="AJ57" i="1"/>
  <c r="AJ56" i="1"/>
  <c r="AL56" i="1" s="1"/>
  <c r="AJ55" i="1"/>
  <c r="AL55" i="1" s="1"/>
  <c r="AJ54" i="1"/>
  <c r="AL54" i="1" s="1"/>
  <c r="AJ53" i="1"/>
  <c r="AL53" i="1" s="1"/>
  <c r="AJ52" i="1"/>
  <c r="AJ51" i="1"/>
  <c r="AJ50" i="1"/>
  <c r="AJ49" i="1"/>
  <c r="AJ48" i="1"/>
  <c r="AL48" i="1" s="1"/>
  <c r="AJ47" i="1"/>
  <c r="AJ46" i="1"/>
  <c r="AL46" i="1" s="1"/>
  <c r="AJ45" i="1"/>
  <c r="AL45" i="1" s="1"/>
  <c r="AJ44" i="1"/>
  <c r="AL44" i="1" s="1"/>
  <c r="AJ43" i="1"/>
  <c r="AL43" i="1" s="1"/>
  <c r="AJ42" i="1"/>
  <c r="AL42" i="1" s="1"/>
  <c r="AJ41" i="1"/>
  <c r="AL41" i="1" s="1"/>
  <c r="AJ40" i="1"/>
  <c r="AL40" i="1" s="1"/>
  <c r="AJ39" i="1"/>
  <c r="AL39" i="1" s="1"/>
  <c r="AJ38" i="1"/>
  <c r="AL38" i="1" s="1"/>
  <c r="AJ37" i="1"/>
  <c r="AL37" i="1" s="1"/>
  <c r="AJ36" i="1"/>
  <c r="AJ35" i="1"/>
  <c r="AJ34" i="1"/>
  <c r="AJ33" i="1"/>
  <c r="AL33" i="1" s="1"/>
  <c r="AJ32" i="1"/>
  <c r="AL32" i="1" s="1"/>
  <c r="AJ31" i="1"/>
  <c r="AL31" i="1" s="1"/>
  <c r="AJ30" i="1"/>
  <c r="AL30" i="1" s="1"/>
  <c r="AJ29" i="1"/>
  <c r="AL29" i="1" s="1"/>
  <c r="AJ28" i="1"/>
  <c r="AL28" i="1" s="1"/>
  <c r="AJ27" i="1"/>
  <c r="AL27" i="1" s="1"/>
  <c r="AJ26" i="1"/>
  <c r="AL26" i="1" s="1"/>
  <c r="AJ25" i="1"/>
  <c r="AL25" i="1" s="1"/>
  <c r="AJ24" i="1"/>
  <c r="AL24" i="1" s="1"/>
  <c r="AJ23" i="1"/>
  <c r="AL23" i="1" s="1"/>
  <c r="AJ22" i="1"/>
  <c r="AJ21" i="1"/>
  <c r="AJ20" i="1"/>
  <c r="AJ19" i="1"/>
  <c r="AJ18" i="1"/>
  <c r="AL18" i="1" s="1"/>
  <c r="AJ17" i="1"/>
  <c r="AL17" i="1" s="1"/>
  <c r="AJ16" i="1"/>
  <c r="AL16" i="1" s="1"/>
  <c r="AJ15" i="1"/>
  <c r="AL15" i="1" s="1"/>
  <c r="AJ14" i="1"/>
  <c r="AL14" i="1" s="1"/>
  <c r="AJ13" i="1"/>
  <c r="AL13" i="1" s="1"/>
  <c r="AJ12" i="1"/>
  <c r="AL12" i="1" s="1"/>
  <c r="AJ11" i="1"/>
  <c r="AL11" i="1" s="1"/>
  <c r="AJ10" i="1"/>
  <c r="AL10" i="1" s="1"/>
  <c r="AJ9" i="1"/>
  <c r="AL9" i="1" s="1"/>
  <c r="AJ8" i="1"/>
  <c r="AJ7" i="1"/>
  <c r="AJ6" i="1"/>
  <c r="AJ5" i="1"/>
  <c r="AL5" i="1" s="1"/>
  <c r="AJ4" i="1"/>
  <c r="AL4" i="1" s="1"/>
  <c r="AJ3" i="1"/>
  <c r="AL3" i="1" s="1"/>
  <c r="AK610" i="1"/>
  <c r="AM610" i="1" s="1"/>
  <c r="AQ610" i="1" s="1"/>
  <c r="AK609" i="1"/>
  <c r="AM609" i="1" s="1"/>
  <c r="AK608" i="1"/>
  <c r="AM608" i="1" s="1"/>
  <c r="AK607" i="1"/>
  <c r="AM607" i="1" s="1"/>
  <c r="AK606" i="1"/>
  <c r="AM606" i="1" s="1"/>
  <c r="AK605" i="1"/>
  <c r="AM605" i="1" s="1"/>
  <c r="AQ605" i="1" s="1"/>
  <c r="AK604" i="1"/>
  <c r="AM604" i="1" s="1"/>
  <c r="AK603" i="1"/>
  <c r="AM603" i="1" s="1"/>
  <c r="AK602" i="1"/>
  <c r="AM602" i="1" s="1"/>
  <c r="AK601" i="1"/>
  <c r="AM601" i="1" s="1"/>
  <c r="AK600" i="1"/>
  <c r="AM600" i="1" s="1"/>
  <c r="AK599" i="1"/>
  <c r="AM599" i="1" s="1"/>
  <c r="AK598" i="1"/>
  <c r="AM598" i="1" s="1"/>
  <c r="AK597" i="1"/>
  <c r="AM597" i="1" s="1"/>
  <c r="AK596" i="1"/>
  <c r="AM596" i="1" s="1"/>
  <c r="AK595" i="1"/>
  <c r="AM595" i="1" s="1"/>
  <c r="AK594" i="1"/>
  <c r="AM594" i="1" s="1"/>
  <c r="AK593" i="1"/>
  <c r="AM593" i="1" s="1"/>
  <c r="AK592" i="1"/>
  <c r="AM592" i="1" s="1"/>
  <c r="AK591" i="1"/>
  <c r="AM591" i="1" s="1"/>
  <c r="AQ591" i="1" s="1"/>
  <c r="AK590" i="1"/>
  <c r="AM590" i="1" s="1"/>
  <c r="AK589" i="1"/>
  <c r="AM589" i="1" s="1"/>
  <c r="AK588" i="1"/>
  <c r="AM588" i="1" s="1"/>
  <c r="AK587" i="1"/>
  <c r="AM587" i="1" s="1"/>
  <c r="AK586" i="1"/>
  <c r="AK585" i="1"/>
  <c r="AM585" i="1" s="1"/>
  <c r="AK584" i="1"/>
  <c r="AM584" i="1" s="1"/>
  <c r="AK583" i="1"/>
  <c r="AM583" i="1" s="1"/>
  <c r="AK582" i="1"/>
  <c r="AK581" i="1"/>
  <c r="AM581" i="1" s="1"/>
  <c r="AK580" i="1"/>
  <c r="AM580" i="1" s="1"/>
  <c r="AK579" i="1"/>
  <c r="AM579" i="1" s="1"/>
  <c r="AK578" i="1"/>
  <c r="AM578" i="1" s="1"/>
  <c r="AK577" i="1"/>
  <c r="AM577" i="1" s="1"/>
  <c r="AQ577" i="1" s="1"/>
  <c r="AK576" i="1"/>
  <c r="AM576" i="1" s="1"/>
  <c r="AK575" i="1"/>
  <c r="AM575" i="1" s="1"/>
  <c r="AK574" i="1"/>
  <c r="AM574" i="1" s="1"/>
  <c r="AK573" i="1"/>
  <c r="AM573" i="1" s="1"/>
  <c r="AK572" i="1"/>
  <c r="AM572" i="1" s="1"/>
  <c r="AK571" i="1"/>
  <c r="AM571" i="1" s="1"/>
  <c r="AK570" i="1"/>
  <c r="AM570" i="1" s="1"/>
  <c r="AK569" i="1"/>
  <c r="AM569" i="1" s="1"/>
  <c r="AK568" i="1"/>
  <c r="AM568" i="1" s="1"/>
  <c r="AQ568" i="1" s="1"/>
  <c r="AK567" i="1"/>
  <c r="AK566" i="1"/>
  <c r="AM566" i="1" s="1"/>
  <c r="AK565" i="1"/>
  <c r="AM565" i="1" s="1"/>
  <c r="AK564" i="1"/>
  <c r="AM564" i="1" s="1"/>
  <c r="AK563" i="1"/>
  <c r="AM563" i="1" s="1"/>
  <c r="AQ563" i="1" s="1"/>
  <c r="AK562" i="1"/>
  <c r="AM562" i="1" s="1"/>
  <c r="AK561" i="1"/>
  <c r="AM561" i="1" s="1"/>
  <c r="AK560" i="1"/>
  <c r="AM560" i="1" s="1"/>
  <c r="AK559" i="1"/>
  <c r="AM559" i="1" s="1"/>
  <c r="AK558" i="1"/>
  <c r="AK557" i="1"/>
  <c r="AM557" i="1" s="1"/>
  <c r="AK556" i="1"/>
  <c r="AM556" i="1" s="1"/>
  <c r="AK555" i="1"/>
  <c r="AM555" i="1" s="1"/>
  <c r="AK554" i="1"/>
  <c r="AM554" i="1" s="1"/>
  <c r="AK553" i="1"/>
  <c r="AM553" i="1" s="1"/>
  <c r="AK552" i="1"/>
  <c r="AM552" i="1" s="1"/>
  <c r="AK551" i="1"/>
  <c r="AM551" i="1" s="1"/>
  <c r="AK550" i="1"/>
  <c r="AM550" i="1" s="1"/>
  <c r="AK549" i="1"/>
  <c r="AM549" i="1" s="1"/>
  <c r="AQ549" i="1" s="1"/>
  <c r="AK548" i="1"/>
  <c r="AM548" i="1" s="1"/>
  <c r="AK547" i="1"/>
  <c r="AM547" i="1" s="1"/>
  <c r="AK546" i="1"/>
  <c r="AM546" i="1" s="1"/>
  <c r="AK545" i="1"/>
  <c r="AM545" i="1" s="1"/>
  <c r="AK544" i="1"/>
  <c r="AM544" i="1" s="1"/>
  <c r="AK543" i="1"/>
  <c r="AM543" i="1" s="1"/>
  <c r="AK542" i="1"/>
  <c r="AM542" i="1" s="1"/>
  <c r="AK541" i="1"/>
  <c r="AM541" i="1" s="1"/>
  <c r="AK540" i="1"/>
  <c r="AM540" i="1" s="1"/>
  <c r="AQ540" i="1" s="1"/>
  <c r="AK539" i="1"/>
  <c r="AM539" i="1" s="1"/>
  <c r="AK538" i="1"/>
  <c r="AM538" i="1" s="1"/>
  <c r="AK537" i="1"/>
  <c r="AM537" i="1" s="1"/>
  <c r="AK536" i="1"/>
  <c r="AM536" i="1" s="1"/>
  <c r="AK535" i="1"/>
  <c r="AM535" i="1" s="1"/>
  <c r="AQ535" i="1" s="1"/>
  <c r="AK534" i="1"/>
  <c r="AM534" i="1" s="1"/>
  <c r="AK533" i="1"/>
  <c r="AM533" i="1" s="1"/>
  <c r="AK532" i="1"/>
  <c r="AM532" i="1" s="1"/>
  <c r="AK531" i="1"/>
  <c r="AM531" i="1" s="1"/>
  <c r="AK530" i="1"/>
  <c r="AK529" i="1"/>
  <c r="AM529" i="1" s="1"/>
  <c r="AK528" i="1"/>
  <c r="AM528" i="1" s="1"/>
  <c r="AK527" i="1"/>
  <c r="AM527" i="1" s="1"/>
  <c r="AK526" i="1"/>
  <c r="AM526" i="1" s="1"/>
  <c r="AK525" i="1"/>
  <c r="AM525" i="1" s="1"/>
  <c r="AK524" i="1"/>
  <c r="AM524" i="1" s="1"/>
  <c r="AK523" i="1"/>
  <c r="AM523" i="1" s="1"/>
  <c r="AK522" i="1"/>
  <c r="AM522" i="1" s="1"/>
  <c r="AK521" i="1"/>
  <c r="AM521" i="1" s="1"/>
  <c r="AQ521" i="1" s="1"/>
  <c r="AK520" i="1"/>
  <c r="AK519" i="1"/>
  <c r="AM519" i="1" s="1"/>
  <c r="AK518" i="1"/>
  <c r="AM518" i="1" s="1"/>
  <c r="AK517" i="1"/>
  <c r="AM517" i="1" s="1"/>
  <c r="AK516" i="1"/>
  <c r="AK515" i="1"/>
  <c r="AM515" i="1" s="1"/>
  <c r="AK514" i="1"/>
  <c r="AM514" i="1" s="1"/>
  <c r="AK513" i="1"/>
  <c r="AM513" i="1" s="1"/>
  <c r="AK512" i="1"/>
  <c r="AM512" i="1" s="1"/>
  <c r="AK511" i="1"/>
  <c r="AK510" i="1"/>
  <c r="AM510" i="1" s="1"/>
  <c r="AK509" i="1"/>
  <c r="AM509" i="1" s="1"/>
  <c r="AK508" i="1"/>
  <c r="AM508" i="1" s="1"/>
  <c r="AK507" i="1"/>
  <c r="AM507" i="1" s="1"/>
  <c r="AQ507" i="1" s="1"/>
  <c r="AK506" i="1"/>
  <c r="AM506" i="1" s="1"/>
  <c r="AK505" i="1"/>
  <c r="AM505" i="1" s="1"/>
  <c r="AK504" i="1"/>
  <c r="AM504" i="1" s="1"/>
  <c r="AK503" i="1"/>
  <c r="AM503" i="1" s="1"/>
  <c r="AK502" i="1"/>
  <c r="AK501" i="1"/>
  <c r="AM501" i="1" s="1"/>
  <c r="AK500" i="1"/>
  <c r="AM500" i="1" s="1"/>
  <c r="AK499" i="1"/>
  <c r="AM499" i="1" s="1"/>
  <c r="AK498" i="1"/>
  <c r="AM498" i="1" s="1"/>
  <c r="AQ498" i="1" s="1"/>
  <c r="AK497" i="1"/>
  <c r="AM497" i="1" s="1"/>
  <c r="AK496" i="1"/>
  <c r="AM496" i="1" s="1"/>
  <c r="AK495" i="1"/>
  <c r="AM495" i="1" s="1"/>
  <c r="AK494" i="1"/>
  <c r="AM494" i="1" s="1"/>
  <c r="AK493" i="1"/>
  <c r="AM493" i="1" s="1"/>
  <c r="AQ493" i="1" s="1"/>
  <c r="AK492" i="1"/>
  <c r="AK491" i="1"/>
  <c r="AM491" i="1" s="1"/>
  <c r="AK490" i="1"/>
  <c r="AM490" i="1" s="1"/>
  <c r="AK489" i="1"/>
  <c r="AM489" i="1" s="1"/>
  <c r="AK488" i="1"/>
  <c r="AM488" i="1" s="1"/>
  <c r="AK487" i="1"/>
  <c r="AM487" i="1" s="1"/>
  <c r="AK486" i="1"/>
  <c r="AM486" i="1" s="1"/>
  <c r="AK485" i="1"/>
  <c r="AM485" i="1" s="1"/>
  <c r="AK484" i="1"/>
  <c r="AM484" i="1" s="1"/>
  <c r="AQ484" i="1" s="1"/>
  <c r="AK483" i="1"/>
  <c r="AM483" i="1" s="1"/>
  <c r="AK482" i="1"/>
  <c r="AM482" i="1" s="1"/>
  <c r="AK481" i="1"/>
  <c r="AM481" i="1" s="1"/>
  <c r="AK480" i="1"/>
  <c r="AM480" i="1" s="1"/>
  <c r="AK479" i="1"/>
  <c r="AM479" i="1" s="1"/>
  <c r="AQ479" i="1" s="1"/>
  <c r="AK478" i="1"/>
  <c r="AM478" i="1" s="1"/>
  <c r="AK477" i="1"/>
  <c r="AM477" i="1" s="1"/>
  <c r="AK476" i="1"/>
  <c r="AK475" i="1"/>
  <c r="AK474" i="1"/>
  <c r="AK473" i="1"/>
  <c r="AM473" i="1" s="1"/>
  <c r="AK472" i="1"/>
  <c r="AM472" i="1" s="1"/>
  <c r="AK471" i="1"/>
  <c r="AM471" i="1" s="1"/>
  <c r="AK470" i="1"/>
  <c r="AM470" i="1" s="1"/>
  <c r="AQ470" i="1" s="1"/>
  <c r="AK469" i="1"/>
  <c r="AK468" i="1"/>
  <c r="AM468" i="1" s="1"/>
  <c r="AK467" i="1"/>
  <c r="AM467" i="1" s="1"/>
  <c r="AK466" i="1"/>
  <c r="AM466" i="1" s="1"/>
  <c r="AK465" i="1"/>
  <c r="AM465" i="1" s="1"/>
  <c r="AQ465" i="1" s="1"/>
  <c r="AK464" i="1"/>
  <c r="AM464" i="1" s="1"/>
  <c r="AK463" i="1"/>
  <c r="AM463" i="1" s="1"/>
  <c r="AK462" i="1"/>
  <c r="AM462" i="1" s="1"/>
  <c r="AK461" i="1"/>
  <c r="AM461" i="1" s="1"/>
  <c r="AK460" i="1"/>
  <c r="AM460" i="1" s="1"/>
  <c r="AK459" i="1"/>
  <c r="AM459" i="1" s="1"/>
  <c r="AK458" i="1"/>
  <c r="AM458" i="1" s="1"/>
  <c r="AK457" i="1"/>
  <c r="AM457" i="1" s="1"/>
  <c r="AK456" i="1"/>
  <c r="AM456" i="1" s="1"/>
  <c r="AK455" i="1"/>
  <c r="AM455" i="1" s="1"/>
  <c r="AK454" i="1"/>
  <c r="AM454" i="1" s="1"/>
  <c r="AK453" i="1"/>
  <c r="AM453" i="1" s="1"/>
  <c r="AK452" i="1"/>
  <c r="AM452" i="1" s="1"/>
  <c r="AK451" i="1"/>
  <c r="AM451" i="1" s="1"/>
  <c r="AQ451" i="1" s="1"/>
  <c r="AK450" i="1"/>
  <c r="AK449" i="1"/>
  <c r="AM449" i="1" s="1"/>
  <c r="AK448" i="1"/>
  <c r="AM448" i="1" s="1"/>
  <c r="AK447" i="1"/>
  <c r="AK446" i="1"/>
  <c r="AM446" i="1" s="1"/>
  <c r="AK445" i="1"/>
  <c r="AK444" i="1"/>
  <c r="AM444" i="1" s="1"/>
  <c r="AK443" i="1"/>
  <c r="AM443" i="1" s="1"/>
  <c r="AK442" i="1"/>
  <c r="AM442" i="1" s="1"/>
  <c r="AK441" i="1"/>
  <c r="AK440" i="1"/>
  <c r="AM440" i="1" s="1"/>
  <c r="AQ440" i="1" s="1"/>
  <c r="AK439" i="1"/>
  <c r="AM439" i="1" s="1"/>
  <c r="AK438" i="1"/>
  <c r="AM438" i="1" s="1"/>
  <c r="AK437" i="1"/>
  <c r="AM437" i="1" s="1"/>
  <c r="AQ437" i="1" s="1"/>
  <c r="AK436" i="1"/>
  <c r="AM436" i="1" s="1"/>
  <c r="AK435" i="1"/>
  <c r="AM435" i="1" s="1"/>
  <c r="AK434" i="1"/>
  <c r="AM434" i="1" s="1"/>
  <c r="AK433" i="1"/>
  <c r="AM433" i="1" s="1"/>
  <c r="AK432" i="1"/>
  <c r="AM432" i="1" s="1"/>
  <c r="AK431" i="1"/>
  <c r="AM431" i="1" s="1"/>
  <c r="AK430" i="1"/>
  <c r="AM430" i="1" s="1"/>
  <c r="AK429" i="1"/>
  <c r="AM429" i="1" s="1"/>
  <c r="AK428" i="1"/>
  <c r="AM428" i="1" s="1"/>
  <c r="AQ428" i="1" s="1"/>
  <c r="AK427" i="1"/>
  <c r="AK426" i="1"/>
  <c r="AM426" i="1" s="1"/>
  <c r="AK425" i="1"/>
  <c r="AK424" i="1"/>
  <c r="AM424" i="1" s="1"/>
  <c r="AK423" i="1"/>
  <c r="AM423" i="1" s="1"/>
  <c r="AQ423" i="1" s="1"/>
  <c r="AK422" i="1"/>
  <c r="AM422" i="1" s="1"/>
  <c r="AK421" i="1"/>
  <c r="AM421" i="1" s="1"/>
  <c r="AK420" i="1"/>
  <c r="AM420" i="1" s="1"/>
  <c r="AK419" i="1"/>
  <c r="AM419" i="1" s="1"/>
  <c r="AK418" i="1"/>
  <c r="AM418" i="1" s="1"/>
  <c r="AK417" i="1"/>
  <c r="AM417" i="1" s="1"/>
  <c r="AK416" i="1"/>
  <c r="AM416" i="1" s="1"/>
  <c r="AK415" i="1"/>
  <c r="AM415" i="1" s="1"/>
  <c r="AK414" i="1"/>
  <c r="AM414" i="1" s="1"/>
  <c r="AK413" i="1"/>
  <c r="AM413" i="1" s="1"/>
  <c r="AK412" i="1"/>
  <c r="AM412" i="1" s="1"/>
  <c r="AQ412" i="1" s="1"/>
  <c r="AK411" i="1"/>
  <c r="AM411" i="1" s="1"/>
  <c r="AK410" i="1"/>
  <c r="AM410" i="1" s="1"/>
  <c r="AK409" i="1"/>
  <c r="AM409" i="1" s="1"/>
  <c r="AQ409" i="1" s="1"/>
  <c r="AK408" i="1"/>
  <c r="AM408" i="1" s="1"/>
  <c r="AK407" i="1"/>
  <c r="AM407" i="1" s="1"/>
  <c r="AK406" i="1"/>
  <c r="AM406" i="1" s="1"/>
  <c r="AK405" i="1"/>
  <c r="AM405" i="1" s="1"/>
  <c r="AK404" i="1"/>
  <c r="AM404" i="1" s="1"/>
  <c r="AK403" i="1"/>
  <c r="AM403" i="1" s="1"/>
  <c r="AK402" i="1"/>
  <c r="AM402" i="1" s="1"/>
  <c r="AK401" i="1"/>
  <c r="AM401" i="1" s="1"/>
  <c r="AK400" i="1"/>
  <c r="AK399" i="1"/>
  <c r="AM399" i="1" s="1"/>
  <c r="AK398" i="1"/>
  <c r="AM398" i="1" s="1"/>
  <c r="AK397" i="1"/>
  <c r="AM397" i="1" s="1"/>
  <c r="AK396" i="1"/>
  <c r="AM396" i="1" s="1"/>
  <c r="AK395" i="1"/>
  <c r="AM395" i="1" s="1"/>
  <c r="AQ395" i="1" s="1"/>
  <c r="AK394" i="1"/>
  <c r="AM394" i="1" s="1"/>
  <c r="AK393" i="1"/>
  <c r="AM393" i="1" s="1"/>
  <c r="AK392" i="1"/>
  <c r="AM392" i="1" s="1"/>
  <c r="AK391" i="1"/>
  <c r="AK390" i="1"/>
  <c r="AK389" i="1"/>
  <c r="AM389" i="1" s="1"/>
  <c r="AK388" i="1"/>
  <c r="AM388" i="1" s="1"/>
  <c r="AK387" i="1"/>
  <c r="AM387" i="1" s="1"/>
  <c r="AK386" i="1"/>
  <c r="AM386" i="1" s="1"/>
  <c r="AQ386" i="1" s="1"/>
  <c r="AK385" i="1"/>
  <c r="AK384" i="1"/>
  <c r="AM384" i="1" s="1"/>
  <c r="AK383" i="1"/>
  <c r="AM383" i="1" s="1"/>
  <c r="AK382" i="1"/>
  <c r="AM382" i="1" s="1"/>
  <c r="AK381" i="1"/>
  <c r="AM381" i="1" s="1"/>
  <c r="AQ381" i="1" s="1"/>
  <c r="AK380" i="1"/>
  <c r="AM380" i="1" s="1"/>
  <c r="AK379" i="1"/>
  <c r="AM379" i="1" s="1"/>
  <c r="AK378" i="1"/>
  <c r="AM378" i="1" s="1"/>
  <c r="AK377" i="1"/>
  <c r="AM377" i="1" s="1"/>
  <c r="AK376" i="1"/>
  <c r="AM376" i="1" s="1"/>
  <c r="AK375" i="1"/>
  <c r="AM375" i="1" s="1"/>
  <c r="AK374" i="1"/>
  <c r="AM374" i="1" s="1"/>
  <c r="AK373" i="1"/>
  <c r="AM373" i="1" s="1"/>
  <c r="AK372" i="1"/>
  <c r="AM372" i="1" s="1"/>
  <c r="AK371" i="1"/>
  <c r="AM371" i="1" s="1"/>
  <c r="AK370" i="1"/>
  <c r="AM370" i="1" s="1"/>
  <c r="AK369" i="1"/>
  <c r="AM369" i="1" s="1"/>
  <c r="AK368" i="1"/>
  <c r="AM368" i="1" s="1"/>
  <c r="AK367" i="1"/>
  <c r="AM367" i="1" s="1"/>
  <c r="AQ367" i="1" s="1"/>
  <c r="AK366" i="1"/>
  <c r="AM366" i="1" s="1"/>
  <c r="AK365" i="1"/>
  <c r="AM365" i="1" s="1"/>
  <c r="AK364" i="1"/>
  <c r="AM364" i="1" s="1"/>
  <c r="AK363" i="1"/>
  <c r="AM363" i="1" s="1"/>
  <c r="AK362" i="1"/>
  <c r="AM362" i="1" s="1"/>
  <c r="AK361" i="1"/>
  <c r="AM361" i="1" s="1"/>
  <c r="AK360" i="1"/>
  <c r="AM360" i="1" s="1"/>
  <c r="AK359" i="1"/>
  <c r="AM359" i="1" s="1"/>
  <c r="AK358" i="1"/>
  <c r="AM358" i="1" s="1"/>
  <c r="AK357" i="1"/>
  <c r="AK356" i="1"/>
  <c r="AM356" i="1" s="1"/>
  <c r="AK355" i="1"/>
  <c r="AM355" i="1" s="1"/>
  <c r="AK354" i="1"/>
  <c r="AM354" i="1" s="1"/>
  <c r="AK353" i="1"/>
  <c r="AM353" i="1" s="1"/>
  <c r="AQ353" i="1" s="1"/>
  <c r="AK352" i="1"/>
  <c r="AM352" i="1" s="1"/>
  <c r="AK351" i="1"/>
  <c r="AK350" i="1"/>
  <c r="AM350" i="1" s="1"/>
  <c r="AK349" i="1"/>
  <c r="AM349" i="1" s="1"/>
  <c r="AK348" i="1"/>
  <c r="AM348" i="1" s="1"/>
  <c r="AK347" i="1"/>
  <c r="AM347" i="1" s="1"/>
  <c r="AK346" i="1"/>
  <c r="AM346" i="1" s="1"/>
  <c r="AK345" i="1"/>
  <c r="AM345" i="1" s="1"/>
  <c r="AK344" i="1"/>
  <c r="AM344" i="1" s="1"/>
  <c r="AK343" i="1"/>
  <c r="AM343" i="1" s="1"/>
  <c r="AK342" i="1"/>
  <c r="AM342" i="1" s="1"/>
  <c r="AK341" i="1"/>
  <c r="AM341" i="1" s="1"/>
  <c r="AK340" i="1"/>
  <c r="AM340" i="1" s="1"/>
  <c r="AK339" i="1"/>
  <c r="AM339" i="1" s="1"/>
  <c r="AQ339" i="1" s="1"/>
  <c r="AK338" i="1"/>
  <c r="AK337" i="1"/>
  <c r="AM337" i="1" s="1"/>
  <c r="AK336" i="1"/>
  <c r="AM336" i="1" s="1"/>
  <c r="AK335" i="1"/>
  <c r="AM335" i="1" s="1"/>
  <c r="AK334" i="1"/>
  <c r="AK333" i="1"/>
  <c r="AM333" i="1" s="1"/>
  <c r="AK332" i="1"/>
  <c r="AM332" i="1" s="1"/>
  <c r="AK331" i="1"/>
  <c r="AK330" i="1"/>
  <c r="AK329" i="1"/>
  <c r="AK328" i="1"/>
  <c r="AM328" i="1" s="1"/>
  <c r="AK327" i="1"/>
  <c r="AM327" i="1" s="1"/>
  <c r="AK326" i="1"/>
  <c r="AM326" i="1" s="1"/>
  <c r="AK325" i="1"/>
  <c r="AM325" i="1" s="1"/>
  <c r="AQ325" i="1" s="1"/>
  <c r="AK324" i="1"/>
  <c r="AM324" i="1" s="1"/>
  <c r="AK323" i="1"/>
  <c r="AM323" i="1" s="1"/>
  <c r="AK322" i="1"/>
  <c r="AM322" i="1" s="1"/>
  <c r="AK321" i="1"/>
  <c r="AK320" i="1"/>
  <c r="AK319" i="1"/>
  <c r="AM319" i="1" s="1"/>
  <c r="AK318" i="1"/>
  <c r="AM318" i="1" s="1"/>
  <c r="AK317" i="1"/>
  <c r="AM317" i="1" s="1"/>
  <c r="AK316" i="1"/>
  <c r="AM316" i="1" s="1"/>
  <c r="AQ316" i="1" s="1"/>
  <c r="AK315" i="1"/>
  <c r="AM315" i="1" s="1"/>
  <c r="AK314" i="1"/>
  <c r="AM314" i="1" s="1"/>
  <c r="AK313" i="1"/>
  <c r="AM313" i="1" s="1"/>
  <c r="AK312" i="1"/>
  <c r="AM312" i="1" s="1"/>
  <c r="AK311" i="1"/>
  <c r="AM311" i="1" s="1"/>
  <c r="AQ311" i="1" s="1"/>
  <c r="AK310" i="1"/>
  <c r="AM310" i="1" s="1"/>
  <c r="AK309" i="1"/>
  <c r="AM309" i="1" s="1"/>
  <c r="AK308" i="1"/>
  <c r="AM308" i="1" s="1"/>
  <c r="AK307" i="1"/>
  <c r="AM307" i="1" s="1"/>
  <c r="AK306" i="1"/>
  <c r="AM306" i="1" s="1"/>
  <c r="AK305" i="1"/>
  <c r="AM305" i="1" s="1"/>
  <c r="AK304" i="1"/>
  <c r="AM304" i="1" s="1"/>
  <c r="AK303" i="1"/>
  <c r="AM303" i="1" s="1"/>
  <c r="AK302" i="1"/>
  <c r="AM302" i="1" s="1"/>
  <c r="AQ302" i="1" s="1"/>
  <c r="AK301" i="1"/>
  <c r="AK300" i="1"/>
  <c r="AM300" i="1" s="1"/>
  <c r="AK299" i="1"/>
  <c r="AM299" i="1" s="1"/>
  <c r="AK298" i="1"/>
  <c r="AM298" i="1" s="1"/>
  <c r="AK297" i="1"/>
  <c r="AM297" i="1" s="1"/>
  <c r="AQ297" i="1" s="1"/>
  <c r="AK296" i="1"/>
  <c r="AM296" i="1" s="1"/>
  <c r="AK295" i="1"/>
  <c r="AM295" i="1" s="1"/>
  <c r="AK294" i="1"/>
  <c r="AM294" i="1" s="1"/>
  <c r="AK293" i="1"/>
  <c r="AK292" i="1"/>
  <c r="AK291" i="1"/>
  <c r="AM291" i="1" s="1"/>
  <c r="AK290" i="1"/>
  <c r="AM290" i="1" s="1"/>
  <c r="AK289" i="1"/>
  <c r="AM289" i="1" s="1"/>
  <c r="AK288" i="1"/>
  <c r="AM288" i="1" s="1"/>
  <c r="AQ288" i="1" s="1"/>
  <c r="AK287" i="1"/>
  <c r="AM287" i="1" s="1"/>
  <c r="AK286" i="1"/>
  <c r="AM286" i="1" s="1"/>
  <c r="AK285" i="1"/>
  <c r="AM285" i="1" s="1"/>
  <c r="AK284" i="1"/>
  <c r="AM284" i="1" s="1"/>
  <c r="AK283" i="1"/>
  <c r="AM283" i="1" s="1"/>
  <c r="AQ283" i="1" s="1"/>
  <c r="AK282" i="1"/>
  <c r="AM282" i="1" s="1"/>
  <c r="AK281" i="1"/>
  <c r="AK280" i="1"/>
  <c r="AM280" i="1" s="1"/>
  <c r="AK279" i="1"/>
  <c r="AM279" i="1" s="1"/>
  <c r="AK278" i="1"/>
  <c r="AM278" i="1" s="1"/>
  <c r="AK277" i="1"/>
  <c r="AM277" i="1" s="1"/>
  <c r="AK276" i="1"/>
  <c r="AM276" i="1" s="1"/>
  <c r="AK275" i="1"/>
  <c r="AM275" i="1" s="1"/>
  <c r="AK274" i="1"/>
  <c r="AM274" i="1" s="1"/>
  <c r="AQ274" i="1" s="1"/>
  <c r="AK273" i="1"/>
  <c r="AM273" i="1" s="1"/>
  <c r="AK272" i="1"/>
  <c r="AM272" i="1" s="1"/>
  <c r="AK271" i="1"/>
  <c r="AM271" i="1" s="1"/>
  <c r="AK270" i="1"/>
  <c r="AM270" i="1" s="1"/>
  <c r="AK269" i="1"/>
  <c r="AM269" i="1" s="1"/>
  <c r="AQ269" i="1" s="1"/>
  <c r="AK268" i="1"/>
  <c r="AM268" i="1" s="1"/>
  <c r="AK267" i="1"/>
  <c r="AM267" i="1" s="1"/>
  <c r="AK266" i="1"/>
  <c r="AM266" i="1" s="1"/>
  <c r="AK265" i="1"/>
  <c r="AM265" i="1" s="1"/>
  <c r="AK264" i="1"/>
  <c r="AM264" i="1" s="1"/>
  <c r="AK263" i="1"/>
  <c r="AM263" i="1" s="1"/>
  <c r="AK262" i="1"/>
  <c r="AM262" i="1" s="1"/>
  <c r="AK261" i="1"/>
  <c r="AM261" i="1" s="1"/>
  <c r="AK260" i="1"/>
  <c r="AM260" i="1" s="1"/>
  <c r="AK259" i="1"/>
  <c r="AM259" i="1" s="1"/>
  <c r="AK258" i="1"/>
  <c r="AM258" i="1" s="1"/>
  <c r="AK257" i="1"/>
  <c r="AM257" i="1" s="1"/>
  <c r="AK256" i="1"/>
  <c r="AM256" i="1" s="1"/>
  <c r="AK255" i="1"/>
  <c r="AM255" i="1" s="1"/>
  <c r="AQ255" i="1" s="1"/>
  <c r="AK254" i="1"/>
  <c r="AM254" i="1" s="1"/>
  <c r="AK253" i="1"/>
  <c r="AM253" i="1" s="1"/>
  <c r="AK252" i="1"/>
  <c r="AM252" i="1" s="1"/>
  <c r="AK251" i="1"/>
  <c r="AM251" i="1" s="1"/>
  <c r="AK250" i="1"/>
  <c r="AK249" i="1"/>
  <c r="AM249" i="1" s="1"/>
  <c r="AK248" i="1"/>
  <c r="AM248" i="1" s="1"/>
  <c r="AK247" i="1"/>
  <c r="AM247" i="1" s="1"/>
  <c r="AK246" i="1"/>
  <c r="AM246" i="1" s="1"/>
  <c r="AQ246" i="1" s="1"/>
  <c r="AK245" i="1"/>
  <c r="AM245" i="1" s="1"/>
  <c r="AK244" i="1"/>
  <c r="AM244" i="1" s="1"/>
  <c r="AK243" i="1"/>
  <c r="AM243" i="1" s="1"/>
  <c r="AK242" i="1"/>
  <c r="AM242" i="1" s="1"/>
  <c r="AK241" i="1"/>
  <c r="AM241" i="1" s="1"/>
  <c r="AQ241" i="1" s="1"/>
  <c r="AK240" i="1"/>
  <c r="AM240" i="1" s="1"/>
  <c r="AK239" i="1"/>
  <c r="AM239" i="1" s="1"/>
  <c r="AK238" i="1"/>
  <c r="AK237" i="1"/>
  <c r="AK236" i="1"/>
  <c r="AM236" i="1" s="1"/>
  <c r="AK235" i="1"/>
  <c r="AM235" i="1" s="1"/>
  <c r="AK234" i="1"/>
  <c r="AM234" i="1" s="1"/>
  <c r="AK233" i="1"/>
  <c r="AM233" i="1" s="1"/>
  <c r="AK232" i="1"/>
  <c r="AM232" i="1" s="1"/>
  <c r="AQ232" i="1" s="1"/>
  <c r="AK231" i="1"/>
  <c r="AM231" i="1" s="1"/>
  <c r="AK230" i="1"/>
  <c r="AM230" i="1" s="1"/>
  <c r="AK229" i="1"/>
  <c r="AM229" i="1" s="1"/>
  <c r="AK228" i="1"/>
  <c r="AM228" i="1" s="1"/>
  <c r="AK227" i="1"/>
  <c r="AM227" i="1" s="1"/>
  <c r="AQ227" i="1" s="1"/>
  <c r="AK226" i="1"/>
  <c r="AM226" i="1" s="1"/>
  <c r="AK225" i="1"/>
  <c r="AM225" i="1" s="1"/>
  <c r="AK224" i="1"/>
  <c r="AM224" i="1" s="1"/>
  <c r="AK223" i="1"/>
  <c r="AM223" i="1" s="1"/>
  <c r="AK222" i="1"/>
  <c r="AK221" i="1"/>
  <c r="AM221" i="1" s="1"/>
  <c r="AK220" i="1"/>
  <c r="AM220" i="1" s="1"/>
  <c r="AK219" i="1"/>
  <c r="AM219" i="1" s="1"/>
  <c r="AK218" i="1"/>
  <c r="AM218" i="1" s="1"/>
  <c r="AK217" i="1"/>
  <c r="AM217" i="1" s="1"/>
  <c r="AK216" i="1"/>
  <c r="AM216" i="1" s="1"/>
  <c r="AK215" i="1"/>
  <c r="AM215" i="1" s="1"/>
  <c r="AK214" i="1"/>
  <c r="AM214" i="1" s="1"/>
  <c r="AK213" i="1"/>
  <c r="AM213" i="1" s="1"/>
  <c r="AQ213" i="1" s="1"/>
  <c r="AK212" i="1"/>
  <c r="AM212" i="1" s="1"/>
  <c r="AK211" i="1"/>
  <c r="AM211" i="1" s="1"/>
  <c r="AK210" i="1"/>
  <c r="AM210" i="1" s="1"/>
  <c r="AK209" i="1"/>
  <c r="AM209" i="1" s="1"/>
  <c r="AK208" i="1"/>
  <c r="AM208" i="1" s="1"/>
  <c r="AK207" i="1"/>
  <c r="AM207" i="1" s="1"/>
  <c r="AK206" i="1"/>
  <c r="AM206" i="1" s="1"/>
  <c r="AK205" i="1"/>
  <c r="AM205" i="1" s="1"/>
  <c r="AK204" i="1"/>
  <c r="AM204" i="1" s="1"/>
  <c r="AQ204" i="1" s="1"/>
  <c r="AK203" i="1"/>
  <c r="AK202" i="1"/>
  <c r="AM202" i="1" s="1"/>
  <c r="AK201" i="1"/>
  <c r="AM201" i="1" s="1"/>
  <c r="AK200" i="1"/>
  <c r="AM200" i="1" s="1"/>
  <c r="AK199" i="1"/>
  <c r="AM199" i="1" s="1"/>
  <c r="AQ199" i="1" s="1"/>
  <c r="AK198" i="1"/>
  <c r="AM198" i="1" s="1"/>
  <c r="AK197" i="1"/>
  <c r="AM197" i="1" s="1"/>
  <c r="AK196" i="1"/>
  <c r="AM196" i="1" s="1"/>
  <c r="AK195" i="1"/>
  <c r="AM195" i="1" s="1"/>
  <c r="AK194" i="1"/>
  <c r="AM194" i="1" s="1"/>
  <c r="AK193" i="1"/>
  <c r="AM193" i="1" s="1"/>
  <c r="AK192" i="1"/>
  <c r="AM192" i="1" s="1"/>
  <c r="AK191" i="1"/>
  <c r="AM191" i="1" s="1"/>
  <c r="AK190" i="1"/>
  <c r="AM190" i="1" s="1"/>
  <c r="AQ190" i="1" s="1"/>
  <c r="AK189" i="1"/>
  <c r="AM189" i="1" s="1"/>
  <c r="AK188" i="1"/>
  <c r="AM188" i="1" s="1"/>
  <c r="AQ188" i="1" s="1"/>
  <c r="AK187" i="1"/>
  <c r="AM187" i="1" s="1"/>
  <c r="AK186" i="1"/>
  <c r="AM186" i="1" s="1"/>
  <c r="AK185" i="1"/>
  <c r="AM185" i="1" s="1"/>
  <c r="AQ185" i="1" s="1"/>
  <c r="AK184" i="1"/>
  <c r="AM184" i="1" s="1"/>
  <c r="AK183" i="1"/>
  <c r="AM183" i="1" s="1"/>
  <c r="AK182" i="1"/>
  <c r="AM182" i="1" s="1"/>
  <c r="AK181" i="1"/>
  <c r="AM181" i="1" s="1"/>
  <c r="AK180" i="1"/>
  <c r="AM180" i="1" s="1"/>
  <c r="AK179" i="1"/>
  <c r="AM179" i="1" s="1"/>
  <c r="AK178" i="1"/>
  <c r="AM178" i="1" s="1"/>
  <c r="AK177" i="1"/>
  <c r="AM177" i="1" s="1"/>
  <c r="AK176" i="1"/>
  <c r="AM176" i="1" s="1"/>
  <c r="AK175" i="1"/>
  <c r="AK174" i="1"/>
  <c r="AM174" i="1" s="1"/>
  <c r="AK173" i="1"/>
  <c r="AM173" i="1" s="1"/>
  <c r="AK172" i="1"/>
  <c r="AM172" i="1" s="1"/>
  <c r="AK171" i="1"/>
  <c r="AM171" i="1" s="1"/>
  <c r="AQ171" i="1" s="1"/>
  <c r="AK170" i="1"/>
  <c r="AM170" i="1" s="1"/>
  <c r="AK169" i="1"/>
  <c r="AM169" i="1" s="1"/>
  <c r="AK168" i="1"/>
  <c r="AK167" i="1"/>
  <c r="AM167" i="1" s="1"/>
  <c r="AK166" i="1"/>
  <c r="AK165" i="1"/>
  <c r="AM165" i="1" s="1"/>
  <c r="AK164" i="1"/>
  <c r="AM164" i="1" s="1"/>
  <c r="AK163" i="1"/>
  <c r="AM163" i="1" s="1"/>
  <c r="AK162" i="1"/>
  <c r="AM162" i="1" s="1"/>
  <c r="AQ162" i="1" s="1"/>
  <c r="AK161" i="1"/>
  <c r="AM161" i="1" s="1"/>
  <c r="AK160" i="1"/>
  <c r="AM160" i="1" s="1"/>
  <c r="AK159" i="1"/>
  <c r="AM159" i="1" s="1"/>
  <c r="AK158" i="1"/>
  <c r="AM158" i="1" s="1"/>
  <c r="AK157" i="1"/>
  <c r="AM157" i="1" s="1"/>
  <c r="AQ157" i="1" s="1"/>
  <c r="AK156" i="1"/>
  <c r="AM156" i="1" s="1"/>
  <c r="AK155" i="1"/>
  <c r="AM155" i="1" s="1"/>
  <c r="AK154" i="1"/>
  <c r="AM154" i="1" s="1"/>
  <c r="AK153" i="1"/>
  <c r="AM153" i="1" s="1"/>
  <c r="AK152" i="1"/>
  <c r="AM152" i="1" s="1"/>
  <c r="AK151" i="1"/>
  <c r="AM151" i="1" s="1"/>
  <c r="AK150" i="1"/>
  <c r="AM150" i="1" s="1"/>
  <c r="AK149" i="1"/>
  <c r="AM149" i="1" s="1"/>
  <c r="AK148" i="1"/>
  <c r="AM148" i="1" s="1"/>
  <c r="AK147" i="1"/>
  <c r="AK146" i="1"/>
  <c r="AM146" i="1" s="1"/>
  <c r="AK145" i="1"/>
  <c r="AM145" i="1" s="1"/>
  <c r="AK144" i="1"/>
  <c r="AM144" i="1" s="1"/>
  <c r="AK143" i="1"/>
  <c r="AM143" i="1" s="1"/>
  <c r="AQ143" i="1" s="1"/>
  <c r="AK142" i="1"/>
  <c r="AM142" i="1" s="1"/>
  <c r="AK141" i="1"/>
  <c r="AM141" i="1" s="1"/>
  <c r="AK140" i="1"/>
  <c r="AM140" i="1" s="1"/>
  <c r="AK139" i="1"/>
  <c r="AM139" i="1" s="1"/>
  <c r="AK138" i="1"/>
  <c r="AK137" i="1"/>
  <c r="AM137" i="1" s="1"/>
  <c r="AK136" i="1"/>
  <c r="AM136" i="1" s="1"/>
  <c r="AK135" i="1"/>
  <c r="AM135" i="1" s="1"/>
  <c r="AK134" i="1"/>
  <c r="AM134" i="1" s="1"/>
  <c r="AK133" i="1"/>
  <c r="AM133" i="1" s="1"/>
  <c r="AK132" i="1"/>
  <c r="AM132" i="1" s="1"/>
  <c r="AK131" i="1"/>
  <c r="AM131" i="1" s="1"/>
  <c r="AK130" i="1"/>
  <c r="AM130" i="1" s="1"/>
  <c r="AK129" i="1"/>
  <c r="AM129" i="1" s="1"/>
  <c r="AQ129" i="1" s="1"/>
  <c r="AK128" i="1"/>
  <c r="AK127" i="1"/>
  <c r="AM127" i="1" s="1"/>
  <c r="AK126" i="1"/>
  <c r="AM126" i="1" s="1"/>
  <c r="AK125" i="1"/>
  <c r="AM125" i="1" s="1"/>
  <c r="AK124" i="1"/>
  <c r="AK123" i="1"/>
  <c r="AM123" i="1" s="1"/>
  <c r="AK122" i="1"/>
  <c r="AM122" i="1" s="1"/>
  <c r="AK121" i="1"/>
  <c r="AM121" i="1" s="1"/>
  <c r="AK120" i="1"/>
  <c r="AK119" i="1"/>
  <c r="AM119" i="1" s="1"/>
  <c r="AK118" i="1"/>
  <c r="AM118" i="1" s="1"/>
  <c r="AK117" i="1"/>
  <c r="AM117" i="1" s="1"/>
  <c r="AK116" i="1"/>
  <c r="AM116" i="1" s="1"/>
  <c r="AK115" i="1"/>
  <c r="AM115" i="1" s="1"/>
  <c r="AQ115" i="1" s="1"/>
  <c r="AK114" i="1"/>
  <c r="AM114" i="1" s="1"/>
  <c r="AK113" i="1"/>
  <c r="AM113" i="1" s="1"/>
  <c r="AK112" i="1"/>
  <c r="AM112" i="1" s="1"/>
  <c r="AK111" i="1"/>
  <c r="AM111" i="1" s="1"/>
  <c r="AK110" i="1"/>
  <c r="AM110" i="1" s="1"/>
  <c r="AK109" i="1"/>
  <c r="AM109" i="1" s="1"/>
  <c r="AK108" i="1"/>
  <c r="AM108" i="1" s="1"/>
  <c r="AK107" i="1"/>
  <c r="AM107" i="1" s="1"/>
  <c r="AK106" i="1"/>
  <c r="AM106" i="1" s="1"/>
  <c r="AQ106" i="1" s="1"/>
  <c r="AK105" i="1"/>
  <c r="AK104" i="1"/>
  <c r="AM104" i="1" s="1"/>
  <c r="AK103" i="1"/>
  <c r="AM103" i="1" s="1"/>
  <c r="AK102" i="1"/>
  <c r="AM102" i="1" s="1"/>
  <c r="AK101" i="1"/>
  <c r="AM101" i="1" s="1"/>
  <c r="AQ101" i="1" s="1"/>
  <c r="AK100" i="1"/>
  <c r="AM100" i="1" s="1"/>
  <c r="AK99" i="1"/>
  <c r="AM99" i="1" s="1"/>
  <c r="AK98" i="1"/>
  <c r="AM98" i="1" s="1"/>
  <c r="AK97" i="1"/>
  <c r="AM97" i="1" s="1"/>
  <c r="AK96" i="1"/>
  <c r="AK95" i="1"/>
  <c r="AM95" i="1" s="1"/>
  <c r="AK94" i="1"/>
  <c r="AK93" i="1"/>
  <c r="AM93" i="1" s="1"/>
  <c r="AK92" i="1"/>
  <c r="AM92" i="1" s="1"/>
  <c r="AQ92" i="1" s="1"/>
  <c r="AK91" i="1"/>
  <c r="AM91" i="1" s="1"/>
  <c r="AK90" i="1"/>
  <c r="AM90" i="1" s="1"/>
  <c r="AK89" i="1"/>
  <c r="AM89" i="1" s="1"/>
  <c r="AK88" i="1"/>
  <c r="AM88" i="1" s="1"/>
  <c r="AK87" i="1"/>
  <c r="AM87" i="1" s="1"/>
  <c r="AQ87" i="1" s="1"/>
  <c r="AK86" i="1"/>
  <c r="AM86" i="1" s="1"/>
  <c r="AK85" i="1"/>
  <c r="AM85" i="1" s="1"/>
  <c r="AK84" i="1"/>
  <c r="AM84" i="1" s="1"/>
  <c r="AK83" i="1"/>
  <c r="AM83" i="1" s="1"/>
  <c r="AK82" i="1"/>
  <c r="AM82" i="1" s="1"/>
  <c r="AK81" i="1"/>
  <c r="AM81" i="1" s="1"/>
  <c r="AK80" i="1"/>
  <c r="AM80" i="1" s="1"/>
  <c r="AK79" i="1"/>
  <c r="AM79" i="1" s="1"/>
  <c r="AK78" i="1"/>
  <c r="AM78" i="1" s="1"/>
  <c r="AK77" i="1"/>
  <c r="AK76" i="1"/>
  <c r="AM76" i="1" s="1"/>
  <c r="AK75" i="1"/>
  <c r="AM75" i="1" s="1"/>
  <c r="AK74" i="1"/>
  <c r="AM74" i="1" s="1"/>
  <c r="AK73" i="1"/>
  <c r="AM73" i="1" s="1"/>
  <c r="AQ73" i="1" s="1"/>
  <c r="AK72" i="1"/>
  <c r="AM72" i="1" s="1"/>
  <c r="AK71" i="1"/>
  <c r="AM71" i="1" s="1"/>
  <c r="AK70" i="1"/>
  <c r="AM70" i="1" s="1"/>
  <c r="AK69" i="1"/>
  <c r="AM69" i="1" s="1"/>
  <c r="AK68" i="1"/>
  <c r="AM68" i="1" s="1"/>
  <c r="AK67" i="1"/>
  <c r="AM67" i="1" s="1"/>
  <c r="AK66" i="1"/>
  <c r="AM66" i="1" s="1"/>
  <c r="AK65" i="1"/>
  <c r="AM65" i="1" s="1"/>
  <c r="AK64" i="1"/>
  <c r="AM64" i="1" s="1"/>
  <c r="AK63" i="1"/>
  <c r="AM63" i="1" s="1"/>
  <c r="AK62" i="1"/>
  <c r="AM62" i="1" s="1"/>
  <c r="AK61" i="1"/>
  <c r="AM61" i="1" s="1"/>
  <c r="AK60" i="1"/>
  <c r="AM60" i="1" s="1"/>
  <c r="AK59" i="1"/>
  <c r="AM59" i="1" s="1"/>
  <c r="AQ59" i="1" s="1"/>
  <c r="AK58" i="1"/>
  <c r="AM58" i="1" s="1"/>
  <c r="AK57" i="1"/>
  <c r="AM57" i="1" s="1"/>
  <c r="AK56" i="1"/>
  <c r="AM56" i="1" s="1"/>
  <c r="AK55" i="1"/>
  <c r="AM55" i="1" s="1"/>
  <c r="AK54" i="1"/>
  <c r="AM54" i="1" s="1"/>
  <c r="AK53" i="1"/>
  <c r="AM53" i="1" s="1"/>
  <c r="AK52" i="1"/>
  <c r="AM52" i="1" s="1"/>
  <c r="AK51" i="1"/>
  <c r="AM51" i="1" s="1"/>
  <c r="AK50" i="1"/>
  <c r="AK49" i="1"/>
  <c r="AM49" i="1" s="1"/>
  <c r="AK48" i="1"/>
  <c r="AM48" i="1" s="1"/>
  <c r="AK47" i="1"/>
  <c r="AM47" i="1" s="1"/>
  <c r="AK46" i="1"/>
  <c r="AM46" i="1" s="1"/>
  <c r="AK45" i="1"/>
  <c r="AM45" i="1" s="1"/>
  <c r="AQ45" i="1" s="1"/>
  <c r="AK44" i="1"/>
  <c r="AM44" i="1" s="1"/>
  <c r="AK43" i="1"/>
  <c r="AM43" i="1" s="1"/>
  <c r="AK42" i="1"/>
  <c r="AK41" i="1"/>
  <c r="AK40" i="1"/>
  <c r="AM40" i="1" s="1"/>
  <c r="AK39" i="1"/>
  <c r="AM39" i="1" s="1"/>
  <c r="AK38" i="1"/>
  <c r="AM38" i="1" s="1"/>
  <c r="AK37" i="1"/>
  <c r="AM37" i="1" s="1"/>
  <c r="AK36" i="1"/>
  <c r="AM36" i="1" s="1"/>
  <c r="AK35" i="1"/>
  <c r="AK34" i="1"/>
  <c r="AM34" i="1" s="1"/>
  <c r="AK33" i="1"/>
  <c r="AM33" i="1" s="1"/>
  <c r="AK32" i="1"/>
  <c r="AM32" i="1" s="1"/>
  <c r="AK31" i="1"/>
  <c r="AM31" i="1" s="1"/>
  <c r="AQ31" i="1" s="1"/>
  <c r="AK30" i="1"/>
  <c r="AM30" i="1" s="1"/>
  <c r="AK29" i="1"/>
  <c r="AM29" i="1" s="1"/>
  <c r="AK28" i="1"/>
  <c r="AM28" i="1" s="1"/>
  <c r="AK27" i="1"/>
  <c r="AM27" i="1" s="1"/>
  <c r="AK26" i="1"/>
  <c r="AK25" i="1"/>
  <c r="AM25" i="1" s="1"/>
  <c r="AK24" i="1"/>
  <c r="AK23" i="1"/>
  <c r="AM23" i="1" s="1"/>
  <c r="AK22" i="1"/>
  <c r="AM22" i="1" s="1"/>
  <c r="AK21" i="1"/>
  <c r="AM21" i="1" s="1"/>
  <c r="AK20" i="1"/>
  <c r="AM20" i="1" s="1"/>
  <c r="AK19" i="1"/>
  <c r="AM19" i="1" s="1"/>
  <c r="AK18" i="1"/>
  <c r="AM18" i="1" s="1"/>
  <c r="AK17" i="1"/>
  <c r="AM17" i="1" s="1"/>
  <c r="AQ17" i="1" s="1"/>
  <c r="AK16" i="1"/>
  <c r="AM16" i="1" s="1"/>
  <c r="AK15" i="1"/>
  <c r="AM15" i="1" s="1"/>
  <c r="AK14" i="1"/>
  <c r="AM14" i="1" s="1"/>
  <c r="AK13" i="1"/>
  <c r="AK12" i="1"/>
  <c r="AM12" i="1" s="1"/>
  <c r="AK11" i="1"/>
  <c r="AM11" i="1" s="1"/>
  <c r="AK10" i="1"/>
  <c r="AM10" i="1" s="1"/>
  <c r="AK9" i="1"/>
  <c r="AM9" i="1" s="1"/>
  <c r="AK8" i="1"/>
  <c r="AM8" i="1" s="1"/>
  <c r="AK7" i="1"/>
  <c r="AM7" i="1" s="1"/>
  <c r="AK6" i="1"/>
  <c r="AM6" i="1" s="1"/>
  <c r="AK5" i="1"/>
  <c r="AM5" i="1" s="1"/>
  <c r="AK4" i="1"/>
  <c r="AM4" i="1" s="1"/>
  <c r="AK3" i="1"/>
  <c r="AM3" i="1" s="1"/>
  <c r="AQ3" i="1" s="1"/>
  <c r="AM586" i="1"/>
  <c r="AM558" i="1"/>
  <c r="AM530" i="1"/>
  <c r="AM516" i="1"/>
  <c r="AM475" i="1"/>
  <c r="AM474" i="1"/>
  <c r="AM447" i="1"/>
  <c r="AM445" i="1"/>
  <c r="AM334" i="1"/>
  <c r="AM331" i="1"/>
  <c r="AM321" i="1"/>
  <c r="AM293" i="1"/>
  <c r="AM292" i="1"/>
  <c r="AM250" i="1"/>
  <c r="AM166" i="1"/>
  <c r="AM138" i="1"/>
  <c r="AM96" i="1"/>
  <c r="AM94" i="1"/>
  <c r="AM24" i="1"/>
  <c r="AM13" i="1"/>
  <c r="AL610" i="1"/>
  <c r="AL609" i="1"/>
  <c r="AL608" i="1"/>
  <c r="AL596" i="1"/>
  <c r="AL595" i="1"/>
  <c r="AL594" i="1"/>
  <c r="AP594" i="1" s="1"/>
  <c r="AL593" i="1"/>
  <c r="AL584" i="1"/>
  <c r="AM582" i="1"/>
  <c r="AL582" i="1"/>
  <c r="AL581" i="1"/>
  <c r="AL580" i="1"/>
  <c r="AL579" i="1"/>
  <c r="AL568" i="1"/>
  <c r="AM567" i="1"/>
  <c r="AL567" i="1"/>
  <c r="AL566" i="1"/>
  <c r="AL565" i="1"/>
  <c r="AL564" i="1"/>
  <c r="AL554" i="1"/>
  <c r="AL553" i="1"/>
  <c r="AL552" i="1"/>
  <c r="AL551" i="1"/>
  <c r="AL540" i="1"/>
  <c r="AL539" i="1"/>
  <c r="AL538" i="1"/>
  <c r="AL537" i="1"/>
  <c r="AL528" i="1"/>
  <c r="AL526" i="1"/>
  <c r="AL525" i="1"/>
  <c r="AL524" i="1"/>
  <c r="AL523" i="1"/>
  <c r="AM520" i="1"/>
  <c r="AL512" i="1"/>
  <c r="AM511" i="1"/>
  <c r="AQ511" i="1" s="1"/>
  <c r="AL511" i="1"/>
  <c r="AL510" i="1"/>
  <c r="AL509" i="1"/>
  <c r="AM502" i="1"/>
  <c r="AL500" i="1"/>
  <c r="AL498" i="1"/>
  <c r="AL497" i="1"/>
  <c r="AL496" i="1"/>
  <c r="AL495" i="1"/>
  <c r="AM492" i="1"/>
  <c r="AL484" i="1"/>
  <c r="AP484" i="1" s="1"/>
  <c r="AL483" i="1"/>
  <c r="AL482" i="1"/>
  <c r="AM476" i="1"/>
  <c r="AL470" i="1"/>
  <c r="AM469" i="1"/>
  <c r="AL469" i="1"/>
  <c r="AL468" i="1"/>
  <c r="AL467" i="1"/>
  <c r="AL456" i="1"/>
  <c r="AL455" i="1"/>
  <c r="AL454" i="1"/>
  <c r="AL453" i="1"/>
  <c r="AL452" i="1"/>
  <c r="AM450" i="1"/>
  <c r="AL442" i="1"/>
  <c r="AM441" i="1"/>
  <c r="AL441" i="1"/>
  <c r="AL439" i="1"/>
  <c r="AL428" i="1"/>
  <c r="AM427" i="1"/>
  <c r="AL427" i="1"/>
  <c r="AL426" i="1"/>
  <c r="AM425" i="1"/>
  <c r="AL425" i="1"/>
  <c r="AP425" i="1" s="1"/>
  <c r="AL414" i="1"/>
  <c r="AL413" i="1"/>
  <c r="AL411" i="1"/>
  <c r="AL407" i="1"/>
  <c r="AM400" i="1"/>
  <c r="AL400" i="1"/>
  <c r="AL399" i="1"/>
  <c r="AL398" i="1"/>
  <c r="AL397" i="1"/>
  <c r="AM391" i="1"/>
  <c r="AM390" i="1"/>
  <c r="AL386" i="1"/>
  <c r="AM385" i="1"/>
  <c r="AL385" i="1"/>
  <c r="AL384" i="1"/>
  <c r="AL383" i="1"/>
  <c r="AL372" i="1"/>
  <c r="AL371" i="1"/>
  <c r="AL370" i="1"/>
  <c r="AL358" i="1"/>
  <c r="AM357" i="1"/>
  <c r="AL357" i="1"/>
  <c r="AL356" i="1"/>
  <c r="AL355" i="1"/>
  <c r="AL354" i="1"/>
  <c r="AM351" i="1"/>
  <c r="AL344" i="1"/>
  <c r="AL343" i="1"/>
  <c r="AL342" i="1"/>
  <c r="AL341" i="1"/>
  <c r="AM338" i="1"/>
  <c r="AL332" i="1"/>
  <c r="AM330" i="1"/>
  <c r="AL330" i="1"/>
  <c r="AM329" i="1"/>
  <c r="AQ329" i="1" s="1"/>
  <c r="AL329" i="1"/>
  <c r="AL327" i="1"/>
  <c r="AM320" i="1"/>
  <c r="AL316" i="1"/>
  <c r="AL315" i="1"/>
  <c r="AL314" i="1"/>
  <c r="AL309" i="1"/>
  <c r="AL302" i="1"/>
  <c r="AM301" i="1"/>
  <c r="AQ301" i="1" s="1"/>
  <c r="AL301" i="1"/>
  <c r="AL300" i="1"/>
  <c r="AL299" i="1"/>
  <c r="AL288" i="1"/>
  <c r="AL287" i="1"/>
  <c r="AL286" i="1"/>
  <c r="AM281" i="1"/>
  <c r="AL274" i="1"/>
  <c r="AL273" i="1"/>
  <c r="AL271" i="1"/>
  <c r="AL260" i="1"/>
  <c r="AL259" i="1"/>
  <c r="AL258" i="1"/>
  <c r="AL257" i="1"/>
  <c r="AL256" i="1"/>
  <c r="AL246" i="1"/>
  <c r="AL245" i="1"/>
  <c r="AL243" i="1"/>
  <c r="AM238" i="1"/>
  <c r="AM237" i="1"/>
  <c r="AL232" i="1"/>
  <c r="AL231" i="1"/>
  <c r="AL230" i="1"/>
  <c r="AL228" i="1"/>
  <c r="AM222" i="1"/>
  <c r="AL220" i="1"/>
  <c r="AL218" i="1"/>
  <c r="AL217" i="1"/>
  <c r="AL216" i="1"/>
  <c r="AL215" i="1"/>
  <c r="AL204" i="1"/>
  <c r="AM203" i="1"/>
  <c r="AL203" i="1"/>
  <c r="AL202" i="1"/>
  <c r="AL197" i="1"/>
  <c r="AL190" i="1"/>
  <c r="AL189" i="1"/>
  <c r="AL188" i="1"/>
  <c r="AL187" i="1"/>
  <c r="AL186" i="1"/>
  <c r="AL176" i="1"/>
  <c r="AM175" i="1"/>
  <c r="AL175" i="1"/>
  <c r="AL174" i="1"/>
  <c r="AM168" i="1"/>
  <c r="AL164" i="1"/>
  <c r="AL162" i="1"/>
  <c r="AL161" i="1"/>
  <c r="AL160" i="1"/>
  <c r="AL159" i="1"/>
  <c r="AL156" i="1"/>
  <c r="AL148" i="1"/>
  <c r="AM147" i="1"/>
  <c r="AQ147" i="1" s="1"/>
  <c r="AL147" i="1"/>
  <c r="AL146" i="1"/>
  <c r="AL134" i="1"/>
  <c r="AL133" i="1"/>
  <c r="AL132" i="1"/>
  <c r="AL131" i="1"/>
  <c r="AM128" i="1"/>
  <c r="AL128" i="1"/>
  <c r="AM124" i="1"/>
  <c r="AM120" i="1"/>
  <c r="AL120" i="1"/>
  <c r="AL119" i="1"/>
  <c r="AL118" i="1"/>
  <c r="AL106" i="1"/>
  <c r="AM105" i="1"/>
  <c r="AL105" i="1"/>
  <c r="AL104" i="1"/>
  <c r="AL103" i="1"/>
  <c r="AL92" i="1"/>
  <c r="AL91" i="1"/>
  <c r="AL90" i="1"/>
  <c r="AL80" i="1"/>
  <c r="AL78" i="1"/>
  <c r="AM77" i="1"/>
  <c r="AL77" i="1"/>
  <c r="AL76" i="1"/>
  <c r="AL75" i="1"/>
  <c r="AL64" i="1"/>
  <c r="AL63" i="1"/>
  <c r="AL62" i="1"/>
  <c r="AL61" i="1"/>
  <c r="AL57" i="1"/>
  <c r="AL52" i="1"/>
  <c r="AL51" i="1"/>
  <c r="AM50" i="1"/>
  <c r="AQ50" i="1" s="1"/>
  <c r="AL50" i="1"/>
  <c r="AP50" i="1" s="1"/>
  <c r="AL49" i="1"/>
  <c r="AL47" i="1"/>
  <c r="AM42" i="1"/>
  <c r="AM41" i="1"/>
  <c r="AL36" i="1"/>
  <c r="AM35" i="1"/>
  <c r="AQ35" i="1" s="1"/>
  <c r="AL35" i="1"/>
  <c r="AL34" i="1"/>
  <c r="AM26" i="1"/>
  <c r="AL22" i="1"/>
  <c r="AL21" i="1"/>
  <c r="AL20" i="1"/>
  <c r="AL19" i="1"/>
  <c r="AL8" i="1"/>
  <c r="AL7" i="1"/>
  <c r="AL6" i="1"/>
  <c r="AN610" i="1"/>
  <c r="AN609" i="1"/>
  <c r="AN608" i="1"/>
  <c r="AN607" i="1"/>
  <c r="AN606" i="1"/>
  <c r="AN605" i="1"/>
  <c r="AN604" i="1"/>
  <c r="AN603" i="1"/>
  <c r="AN602" i="1"/>
  <c r="AN601" i="1"/>
  <c r="AN600" i="1"/>
  <c r="AN599" i="1"/>
  <c r="AN598" i="1"/>
  <c r="AN597" i="1"/>
  <c r="AN596" i="1"/>
  <c r="AN595" i="1"/>
  <c r="AN594" i="1"/>
  <c r="AN593" i="1"/>
  <c r="AN592" i="1"/>
  <c r="AN591" i="1"/>
  <c r="AN590" i="1"/>
  <c r="AN589" i="1"/>
  <c r="AN588" i="1"/>
  <c r="AN587" i="1"/>
  <c r="AN586" i="1"/>
  <c r="AN585" i="1"/>
  <c r="AN584" i="1"/>
  <c r="AN583" i="1"/>
  <c r="AN582" i="1"/>
  <c r="AN581" i="1"/>
  <c r="AN580" i="1"/>
  <c r="AN579" i="1"/>
  <c r="AN578" i="1"/>
  <c r="AN577" i="1"/>
  <c r="AN576" i="1"/>
  <c r="AN575" i="1"/>
  <c r="AN574" i="1"/>
  <c r="AN573" i="1"/>
  <c r="AN572" i="1"/>
  <c r="AN571" i="1"/>
  <c r="AN570" i="1"/>
  <c r="AN569" i="1"/>
  <c r="AN568" i="1"/>
  <c r="AN567" i="1"/>
  <c r="AN566" i="1"/>
  <c r="AN565" i="1"/>
  <c r="AN564" i="1"/>
  <c r="AN563" i="1"/>
  <c r="AN562" i="1"/>
  <c r="AN561" i="1"/>
  <c r="AN560" i="1"/>
  <c r="AN559" i="1"/>
  <c r="AN558" i="1"/>
  <c r="AN557" i="1"/>
  <c r="AN556" i="1"/>
  <c r="AN555" i="1"/>
  <c r="AN554" i="1"/>
  <c r="AN553" i="1"/>
  <c r="AN552" i="1"/>
  <c r="AN551" i="1"/>
  <c r="AP551" i="1" s="1"/>
  <c r="AN550" i="1"/>
  <c r="AN549" i="1"/>
  <c r="AN548" i="1"/>
  <c r="AN547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503" i="1"/>
  <c r="AN502" i="1"/>
  <c r="AN501" i="1"/>
  <c r="AN500" i="1"/>
  <c r="AN499" i="1"/>
  <c r="AN498" i="1"/>
  <c r="AN497" i="1"/>
  <c r="AN496" i="1"/>
  <c r="AN495" i="1"/>
  <c r="AN494" i="1"/>
  <c r="AN493" i="1"/>
  <c r="AN492" i="1"/>
  <c r="AN491" i="1"/>
  <c r="AP491" i="1" s="1"/>
  <c r="AN490" i="1"/>
  <c r="AN489" i="1"/>
  <c r="AN488" i="1"/>
  <c r="AN487" i="1"/>
  <c r="AN486" i="1"/>
  <c r="AN485" i="1"/>
  <c r="AN484" i="1"/>
  <c r="AN483" i="1"/>
  <c r="AN482" i="1"/>
  <c r="AN481" i="1"/>
  <c r="AN480" i="1"/>
  <c r="AN479" i="1"/>
  <c r="AN478" i="1"/>
  <c r="AN477" i="1"/>
  <c r="AN476" i="1"/>
  <c r="AN475" i="1"/>
  <c r="AN474" i="1"/>
  <c r="AN473" i="1"/>
  <c r="AN472" i="1"/>
  <c r="AN471" i="1"/>
  <c r="AN470" i="1"/>
  <c r="AN469" i="1"/>
  <c r="AN468" i="1"/>
  <c r="AN467" i="1"/>
  <c r="AN466" i="1"/>
  <c r="AN465" i="1"/>
  <c r="AN464" i="1"/>
  <c r="AN463" i="1"/>
  <c r="AN462" i="1"/>
  <c r="AN461" i="1"/>
  <c r="AN460" i="1"/>
  <c r="AN459" i="1"/>
  <c r="AN458" i="1"/>
  <c r="AN457" i="1"/>
  <c r="AN456" i="1"/>
  <c r="AN455" i="1"/>
  <c r="AN454" i="1"/>
  <c r="AN453" i="1"/>
  <c r="AN452" i="1"/>
  <c r="AN451" i="1"/>
  <c r="AN450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7" i="1"/>
  <c r="AN436" i="1"/>
  <c r="AN435" i="1"/>
  <c r="AN434" i="1"/>
  <c r="AN433" i="1"/>
  <c r="AN432" i="1"/>
  <c r="AN431" i="1"/>
  <c r="AN430" i="1"/>
  <c r="AN429" i="1"/>
  <c r="AN428" i="1"/>
  <c r="AN427" i="1"/>
  <c r="AN426" i="1"/>
  <c r="AN425" i="1"/>
  <c r="AN424" i="1"/>
  <c r="AN423" i="1"/>
  <c r="AN422" i="1"/>
  <c r="AN421" i="1"/>
  <c r="AN420" i="1"/>
  <c r="AN419" i="1"/>
  <c r="AN418" i="1"/>
  <c r="AN417" i="1"/>
  <c r="AN416" i="1"/>
  <c r="AN415" i="1"/>
  <c r="AN414" i="1"/>
  <c r="AN413" i="1"/>
  <c r="AN412" i="1"/>
  <c r="AN411" i="1"/>
  <c r="AN410" i="1"/>
  <c r="AN409" i="1"/>
  <c r="AN408" i="1"/>
  <c r="AN407" i="1"/>
  <c r="AN406" i="1"/>
  <c r="AN405" i="1"/>
  <c r="AN404" i="1"/>
  <c r="AN403" i="1"/>
  <c r="AN402" i="1"/>
  <c r="AN401" i="1"/>
  <c r="AN400" i="1"/>
  <c r="AN399" i="1"/>
  <c r="AN398" i="1"/>
  <c r="AN397" i="1"/>
  <c r="AN396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79" i="1"/>
  <c r="AN378" i="1"/>
  <c r="AN377" i="1"/>
  <c r="AN376" i="1"/>
  <c r="AN375" i="1"/>
  <c r="AN374" i="1"/>
  <c r="AN373" i="1"/>
  <c r="AN372" i="1"/>
  <c r="AN371" i="1"/>
  <c r="AN370" i="1"/>
  <c r="AN369" i="1"/>
  <c r="AP369" i="1" s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2" i="1"/>
  <c r="AN331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8" i="1"/>
  <c r="AN317" i="1"/>
  <c r="AN316" i="1"/>
  <c r="AN315" i="1"/>
  <c r="AN314" i="1"/>
  <c r="AN313" i="1"/>
  <c r="AN312" i="1"/>
  <c r="AN311" i="1"/>
  <c r="AN310" i="1"/>
  <c r="AN309" i="1"/>
  <c r="AN308" i="1"/>
  <c r="AN307" i="1"/>
  <c r="AN306" i="1"/>
  <c r="AN305" i="1"/>
  <c r="AN304" i="1"/>
  <c r="AN303" i="1"/>
  <c r="AN302" i="1"/>
  <c r="AN301" i="1"/>
  <c r="AN300" i="1"/>
  <c r="AN299" i="1"/>
  <c r="AP299" i="1" s="1"/>
  <c r="AN298" i="1"/>
  <c r="AN297" i="1"/>
  <c r="AN296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7" i="1"/>
  <c r="AN246" i="1"/>
  <c r="AN245" i="1"/>
  <c r="AN244" i="1"/>
  <c r="AN243" i="1"/>
  <c r="AN242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N182" i="1"/>
  <c r="AN181" i="1"/>
  <c r="AN180" i="1"/>
  <c r="AN179" i="1"/>
  <c r="AN178" i="1"/>
  <c r="AN177" i="1"/>
  <c r="AN176" i="1"/>
  <c r="AN175" i="1"/>
  <c r="AN174" i="1"/>
  <c r="AN173" i="1"/>
  <c r="AN172" i="1"/>
  <c r="AN171" i="1"/>
  <c r="AN170" i="1"/>
  <c r="AN169" i="1"/>
  <c r="AN168" i="1"/>
  <c r="AN167" i="1"/>
  <c r="AN166" i="1"/>
  <c r="AN165" i="1"/>
  <c r="AN164" i="1"/>
  <c r="AN163" i="1"/>
  <c r="AN162" i="1"/>
  <c r="AN161" i="1"/>
  <c r="AN160" i="1"/>
  <c r="AN159" i="1"/>
  <c r="AN158" i="1"/>
  <c r="AN157" i="1"/>
  <c r="AN156" i="1"/>
  <c r="AN155" i="1"/>
  <c r="AN154" i="1"/>
  <c r="AN153" i="1"/>
  <c r="AN152" i="1"/>
  <c r="AN151" i="1"/>
  <c r="AN150" i="1"/>
  <c r="AN149" i="1"/>
  <c r="AN148" i="1"/>
  <c r="AN147" i="1"/>
  <c r="AN146" i="1"/>
  <c r="AN145" i="1"/>
  <c r="AN144" i="1"/>
  <c r="AN143" i="1"/>
  <c r="AN142" i="1"/>
  <c r="AN141" i="1"/>
  <c r="AN140" i="1"/>
  <c r="AN139" i="1"/>
  <c r="AN138" i="1"/>
  <c r="AN137" i="1"/>
  <c r="AN136" i="1"/>
  <c r="AN135" i="1"/>
  <c r="AN134" i="1"/>
  <c r="AN133" i="1"/>
  <c r="AN132" i="1"/>
  <c r="AN131" i="1"/>
  <c r="AN130" i="1"/>
  <c r="AN129" i="1"/>
  <c r="AN128" i="1"/>
  <c r="AN127" i="1"/>
  <c r="AN126" i="1"/>
  <c r="AN125" i="1"/>
  <c r="AN124" i="1"/>
  <c r="AN123" i="1"/>
  <c r="AN122" i="1"/>
  <c r="AN121" i="1"/>
  <c r="AN120" i="1"/>
  <c r="AN119" i="1"/>
  <c r="AN118" i="1"/>
  <c r="AN117" i="1"/>
  <c r="AP117" i="1" s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P89" i="1" s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P49" i="1" s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V3" i="1"/>
  <c r="AO610" i="1"/>
  <c r="AO609" i="1"/>
  <c r="AO608" i="1"/>
  <c r="AO607" i="1"/>
  <c r="AO606" i="1"/>
  <c r="AO605" i="1"/>
  <c r="AO604" i="1"/>
  <c r="AO603" i="1"/>
  <c r="AO602" i="1"/>
  <c r="AO601" i="1"/>
  <c r="AO600" i="1"/>
  <c r="AO599" i="1"/>
  <c r="AO598" i="1"/>
  <c r="AO597" i="1"/>
  <c r="AO596" i="1"/>
  <c r="AO595" i="1"/>
  <c r="AO594" i="1"/>
  <c r="AO593" i="1"/>
  <c r="AO592" i="1"/>
  <c r="AO591" i="1"/>
  <c r="AO590" i="1"/>
  <c r="AO589" i="1"/>
  <c r="AO588" i="1"/>
  <c r="AO587" i="1"/>
  <c r="AO586" i="1"/>
  <c r="AO585" i="1"/>
  <c r="AO584" i="1"/>
  <c r="AO583" i="1"/>
  <c r="AO582" i="1"/>
  <c r="AO581" i="1"/>
  <c r="AO580" i="1"/>
  <c r="AO579" i="1"/>
  <c r="AO578" i="1"/>
  <c r="AO577" i="1"/>
  <c r="AO576" i="1"/>
  <c r="AO575" i="1"/>
  <c r="AO574" i="1"/>
  <c r="AO573" i="1"/>
  <c r="AO572" i="1"/>
  <c r="AO571" i="1"/>
  <c r="AO570" i="1"/>
  <c r="AO569" i="1"/>
  <c r="AO568" i="1"/>
  <c r="AO567" i="1"/>
  <c r="AO566" i="1"/>
  <c r="AO565" i="1"/>
  <c r="AO564" i="1"/>
  <c r="AO563" i="1"/>
  <c r="AO562" i="1"/>
  <c r="AO561" i="1"/>
  <c r="AO560" i="1"/>
  <c r="AO559" i="1"/>
  <c r="AO558" i="1"/>
  <c r="AO557" i="1"/>
  <c r="AO556" i="1"/>
  <c r="AO555" i="1"/>
  <c r="AO554" i="1"/>
  <c r="AO553" i="1"/>
  <c r="AO552" i="1"/>
  <c r="AO551" i="1"/>
  <c r="AO550" i="1"/>
  <c r="AO549" i="1"/>
  <c r="AO548" i="1"/>
  <c r="AO547" i="1"/>
  <c r="AO546" i="1"/>
  <c r="AO545" i="1"/>
  <c r="AO544" i="1"/>
  <c r="AO543" i="1"/>
  <c r="AO542" i="1"/>
  <c r="AO541" i="1"/>
  <c r="AO540" i="1"/>
  <c r="AO539" i="1"/>
  <c r="AO538" i="1"/>
  <c r="AO537" i="1"/>
  <c r="AO536" i="1"/>
  <c r="AO535" i="1"/>
  <c r="AO534" i="1"/>
  <c r="AO533" i="1"/>
  <c r="AO532" i="1"/>
  <c r="AO531" i="1"/>
  <c r="AO530" i="1"/>
  <c r="AO529" i="1"/>
  <c r="AO528" i="1"/>
  <c r="AO527" i="1"/>
  <c r="AO526" i="1"/>
  <c r="AO525" i="1"/>
  <c r="AO524" i="1"/>
  <c r="AO523" i="1"/>
  <c r="AO522" i="1"/>
  <c r="AO521" i="1"/>
  <c r="AO520" i="1"/>
  <c r="AO519" i="1"/>
  <c r="AO518" i="1"/>
  <c r="AO517" i="1"/>
  <c r="AO516" i="1"/>
  <c r="AO515" i="1"/>
  <c r="AO514" i="1"/>
  <c r="AO513" i="1"/>
  <c r="AO512" i="1"/>
  <c r="AO511" i="1"/>
  <c r="AO510" i="1"/>
  <c r="AO509" i="1"/>
  <c r="AO508" i="1"/>
  <c r="AO507" i="1"/>
  <c r="AO506" i="1"/>
  <c r="AO505" i="1"/>
  <c r="AO504" i="1"/>
  <c r="AO503" i="1"/>
  <c r="AO502" i="1"/>
  <c r="AO501" i="1"/>
  <c r="AO500" i="1"/>
  <c r="AO499" i="1"/>
  <c r="AO498" i="1"/>
  <c r="AO497" i="1"/>
  <c r="AO496" i="1"/>
  <c r="AO495" i="1"/>
  <c r="AO494" i="1"/>
  <c r="AO493" i="1"/>
  <c r="AO492" i="1"/>
  <c r="AO491" i="1"/>
  <c r="AO490" i="1"/>
  <c r="AO489" i="1"/>
  <c r="AO488" i="1"/>
  <c r="AO487" i="1"/>
  <c r="AO486" i="1"/>
  <c r="AO485" i="1"/>
  <c r="AO484" i="1"/>
  <c r="AO483" i="1"/>
  <c r="AO482" i="1"/>
  <c r="AO481" i="1"/>
  <c r="AO480" i="1"/>
  <c r="AO479" i="1"/>
  <c r="AO478" i="1"/>
  <c r="AO477" i="1"/>
  <c r="AO476" i="1"/>
  <c r="AO475" i="1"/>
  <c r="AO474" i="1"/>
  <c r="AO473" i="1"/>
  <c r="AO472" i="1"/>
  <c r="AO471" i="1"/>
  <c r="AO470" i="1"/>
  <c r="AO469" i="1"/>
  <c r="AO468" i="1"/>
  <c r="AO467" i="1"/>
  <c r="AO466" i="1"/>
  <c r="AO465" i="1"/>
  <c r="AO464" i="1"/>
  <c r="AO463" i="1"/>
  <c r="AO462" i="1"/>
  <c r="AO461" i="1"/>
  <c r="AO460" i="1"/>
  <c r="AO459" i="1"/>
  <c r="AO458" i="1"/>
  <c r="AO457" i="1"/>
  <c r="AO456" i="1"/>
  <c r="AO455" i="1"/>
  <c r="AO454" i="1"/>
  <c r="AO453" i="1"/>
  <c r="AO452" i="1"/>
  <c r="AO451" i="1"/>
  <c r="AO450" i="1"/>
  <c r="AO449" i="1"/>
  <c r="AO448" i="1"/>
  <c r="AO447" i="1"/>
  <c r="AO446" i="1"/>
  <c r="AO445" i="1"/>
  <c r="AO444" i="1"/>
  <c r="AO443" i="1"/>
  <c r="AO442" i="1"/>
  <c r="AO441" i="1"/>
  <c r="AO440" i="1"/>
  <c r="AO439" i="1"/>
  <c r="AO438" i="1"/>
  <c r="AO437" i="1"/>
  <c r="AO436" i="1"/>
  <c r="AO435" i="1"/>
  <c r="AO434" i="1"/>
  <c r="AO433" i="1"/>
  <c r="AO432" i="1"/>
  <c r="AO431" i="1"/>
  <c r="AO430" i="1"/>
  <c r="AO429" i="1"/>
  <c r="AO428" i="1"/>
  <c r="AO427" i="1"/>
  <c r="AO426" i="1"/>
  <c r="AO425" i="1"/>
  <c r="AO424" i="1"/>
  <c r="AO423" i="1"/>
  <c r="AO422" i="1"/>
  <c r="AO421" i="1"/>
  <c r="AO420" i="1"/>
  <c r="AO419" i="1"/>
  <c r="AO418" i="1"/>
  <c r="AO417" i="1"/>
  <c r="AO416" i="1"/>
  <c r="AO415" i="1"/>
  <c r="AO414" i="1"/>
  <c r="AO413" i="1"/>
  <c r="AO412" i="1"/>
  <c r="AO411" i="1"/>
  <c r="AO410" i="1"/>
  <c r="AO409" i="1"/>
  <c r="AO408" i="1"/>
  <c r="AO407" i="1"/>
  <c r="AO406" i="1"/>
  <c r="AO405" i="1"/>
  <c r="AO404" i="1"/>
  <c r="AO403" i="1"/>
  <c r="AO402" i="1"/>
  <c r="AO401" i="1"/>
  <c r="AO400" i="1"/>
  <c r="AO399" i="1"/>
  <c r="AO398" i="1"/>
  <c r="AO397" i="1"/>
  <c r="AO396" i="1"/>
  <c r="AO395" i="1"/>
  <c r="AO394" i="1"/>
  <c r="AO393" i="1"/>
  <c r="AO392" i="1"/>
  <c r="AO391" i="1"/>
  <c r="AO390" i="1"/>
  <c r="AO389" i="1"/>
  <c r="AO388" i="1"/>
  <c r="AO387" i="1"/>
  <c r="AO386" i="1"/>
  <c r="AO385" i="1"/>
  <c r="AO384" i="1"/>
  <c r="AO383" i="1"/>
  <c r="AO382" i="1"/>
  <c r="AO381" i="1"/>
  <c r="AO380" i="1"/>
  <c r="AO379" i="1"/>
  <c r="AO378" i="1"/>
  <c r="AO377" i="1"/>
  <c r="AO376" i="1"/>
  <c r="AO375" i="1"/>
  <c r="AO374" i="1"/>
  <c r="AO373" i="1"/>
  <c r="AO372" i="1"/>
  <c r="AO371" i="1"/>
  <c r="AO370" i="1"/>
  <c r="AO369" i="1"/>
  <c r="AO368" i="1"/>
  <c r="AO367" i="1"/>
  <c r="AO366" i="1"/>
  <c r="AO365" i="1"/>
  <c r="AO364" i="1"/>
  <c r="AO363" i="1"/>
  <c r="AO362" i="1"/>
  <c r="AO361" i="1"/>
  <c r="AO360" i="1"/>
  <c r="AO359" i="1"/>
  <c r="AO358" i="1"/>
  <c r="AO357" i="1"/>
  <c r="AO356" i="1"/>
  <c r="AO355" i="1"/>
  <c r="AO354" i="1"/>
  <c r="AO353" i="1"/>
  <c r="AO352" i="1"/>
  <c r="AO351" i="1"/>
  <c r="AO350" i="1"/>
  <c r="AO349" i="1"/>
  <c r="AO348" i="1"/>
  <c r="AO347" i="1"/>
  <c r="AO346" i="1"/>
  <c r="AO345" i="1"/>
  <c r="AO344" i="1"/>
  <c r="AO343" i="1"/>
  <c r="AO342" i="1"/>
  <c r="AO341" i="1"/>
  <c r="AO340" i="1"/>
  <c r="AO339" i="1"/>
  <c r="AO338" i="1"/>
  <c r="AO337" i="1"/>
  <c r="AO336" i="1"/>
  <c r="AO335" i="1"/>
  <c r="AO334" i="1"/>
  <c r="AO333" i="1"/>
  <c r="AO332" i="1"/>
  <c r="AO331" i="1"/>
  <c r="AO330" i="1"/>
  <c r="AO329" i="1"/>
  <c r="AO328" i="1"/>
  <c r="AO327" i="1"/>
  <c r="AO326" i="1"/>
  <c r="AO325" i="1"/>
  <c r="AO324" i="1"/>
  <c r="AO323" i="1"/>
  <c r="AO322" i="1"/>
  <c r="AO321" i="1"/>
  <c r="AO320" i="1"/>
  <c r="AO319" i="1"/>
  <c r="AO318" i="1"/>
  <c r="AO317" i="1"/>
  <c r="AO316" i="1"/>
  <c r="AO315" i="1"/>
  <c r="AO314" i="1"/>
  <c r="AO313" i="1"/>
  <c r="AO312" i="1"/>
  <c r="AO311" i="1"/>
  <c r="AO310" i="1"/>
  <c r="AO309" i="1"/>
  <c r="AO308" i="1"/>
  <c r="AO307" i="1"/>
  <c r="AO306" i="1"/>
  <c r="AO305" i="1"/>
  <c r="AO304" i="1"/>
  <c r="AO303" i="1"/>
  <c r="AO302" i="1"/>
  <c r="AO301" i="1"/>
  <c r="AO300" i="1"/>
  <c r="AO299" i="1"/>
  <c r="AO298" i="1"/>
  <c r="AO297" i="1"/>
  <c r="AO296" i="1"/>
  <c r="AO295" i="1"/>
  <c r="AO294" i="1"/>
  <c r="AO293" i="1"/>
  <c r="AO292" i="1"/>
  <c r="AO291" i="1"/>
  <c r="AO290" i="1"/>
  <c r="AO289" i="1"/>
  <c r="AO288" i="1"/>
  <c r="AO287" i="1"/>
  <c r="AO286" i="1"/>
  <c r="AO285" i="1"/>
  <c r="AO284" i="1"/>
  <c r="AO283" i="1"/>
  <c r="AO282" i="1"/>
  <c r="AO281" i="1"/>
  <c r="AO280" i="1"/>
  <c r="AO279" i="1"/>
  <c r="AO278" i="1"/>
  <c r="AO277" i="1"/>
  <c r="AO276" i="1"/>
  <c r="AO275" i="1"/>
  <c r="AO274" i="1"/>
  <c r="AO273" i="1"/>
  <c r="AO272" i="1"/>
  <c r="AO271" i="1"/>
  <c r="AO270" i="1"/>
  <c r="AO269" i="1"/>
  <c r="AO268" i="1"/>
  <c r="AO267" i="1"/>
  <c r="AO266" i="1"/>
  <c r="AO265" i="1"/>
  <c r="AO264" i="1"/>
  <c r="AO263" i="1"/>
  <c r="AO262" i="1"/>
  <c r="AO261" i="1"/>
  <c r="AO260" i="1"/>
  <c r="AO259" i="1"/>
  <c r="AO258" i="1"/>
  <c r="AO257" i="1"/>
  <c r="AO256" i="1"/>
  <c r="AO255" i="1"/>
  <c r="AO254" i="1"/>
  <c r="AO253" i="1"/>
  <c r="AO252" i="1"/>
  <c r="AO251" i="1"/>
  <c r="AO250" i="1"/>
  <c r="AO249" i="1"/>
  <c r="AO248" i="1"/>
  <c r="AO247" i="1"/>
  <c r="AO246" i="1"/>
  <c r="AO245" i="1"/>
  <c r="AO244" i="1"/>
  <c r="AO243" i="1"/>
  <c r="AO242" i="1"/>
  <c r="AO241" i="1"/>
  <c r="AO240" i="1"/>
  <c r="AO239" i="1"/>
  <c r="AO238" i="1"/>
  <c r="AO237" i="1"/>
  <c r="AO236" i="1"/>
  <c r="AO235" i="1"/>
  <c r="AO234" i="1"/>
  <c r="AO233" i="1"/>
  <c r="AO232" i="1"/>
  <c r="AO231" i="1"/>
  <c r="AO230" i="1"/>
  <c r="AO229" i="1"/>
  <c r="AO228" i="1"/>
  <c r="AO227" i="1"/>
  <c r="AO226" i="1"/>
  <c r="AO225" i="1"/>
  <c r="AO224" i="1"/>
  <c r="AO223" i="1"/>
  <c r="AO222" i="1"/>
  <c r="AO221" i="1"/>
  <c r="AO220" i="1"/>
  <c r="AO219" i="1"/>
  <c r="AO218" i="1"/>
  <c r="AO217" i="1"/>
  <c r="AO216" i="1"/>
  <c r="AO215" i="1"/>
  <c r="AO214" i="1"/>
  <c r="AO213" i="1"/>
  <c r="AO212" i="1"/>
  <c r="AO211" i="1"/>
  <c r="AO210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O3" i="1"/>
  <c r="R3" i="1"/>
  <c r="S3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1" i="1"/>
  <c r="S61" i="1"/>
  <c r="R62" i="1"/>
  <c r="S62" i="1"/>
  <c r="R63" i="1"/>
  <c r="S63" i="1"/>
  <c r="R64" i="1"/>
  <c r="S64" i="1"/>
  <c r="R65" i="1"/>
  <c r="S65" i="1"/>
  <c r="R66" i="1"/>
  <c r="S66" i="1"/>
  <c r="R67" i="1"/>
  <c r="S67" i="1"/>
  <c r="R68" i="1"/>
  <c r="S68" i="1"/>
  <c r="R69" i="1"/>
  <c r="S69" i="1"/>
  <c r="R70" i="1"/>
  <c r="S70" i="1"/>
  <c r="R71" i="1"/>
  <c r="S71" i="1"/>
  <c r="R72" i="1"/>
  <c r="S72" i="1"/>
  <c r="R73" i="1"/>
  <c r="S73" i="1"/>
  <c r="R74" i="1"/>
  <c r="S74" i="1"/>
  <c r="R75" i="1"/>
  <c r="S75" i="1"/>
  <c r="R76" i="1"/>
  <c r="S76" i="1"/>
  <c r="R77" i="1"/>
  <c r="S77" i="1"/>
  <c r="R78" i="1"/>
  <c r="S78" i="1"/>
  <c r="R79" i="1"/>
  <c r="S79" i="1"/>
  <c r="R80" i="1"/>
  <c r="S80" i="1"/>
  <c r="R81" i="1"/>
  <c r="S81" i="1"/>
  <c r="R82" i="1"/>
  <c r="S82" i="1"/>
  <c r="R83" i="1"/>
  <c r="S83" i="1"/>
  <c r="R84" i="1"/>
  <c r="S84" i="1"/>
  <c r="R85" i="1"/>
  <c r="S85" i="1"/>
  <c r="R86" i="1"/>
  <c r="S86" i="1"/>
  <c r="R87" i="1"/>
  <c r="S87" i="1"/>
  <c r="R88" i="1"/>
  <c r="S88" i="1"/>
  <c r="R89" i="1"/>
  <c r="S89" i="1"/>
  <c r="R90" i="1"/>
  <c r="S90" i="1"/>
  <c r="R91" i="1"/>
  <c r="S91" i="1"/>
  <c r="R92" i="1"/>
  <c r="S92" i="1"/>
  <c r="R93" i="1"/>
  <c r="S93" i="1"/>
  <c r="R94" i="1"/>
  <c r="S94" i="1"/>
  <c r="R95" i="1"/>
  <c r="S95" i="1"/>
  <c r="R96" i="1"/>
  <c r="S96" i="1"/>
  <c r="R97" i="1"/>
  <c r="S97" i="1"/>
  <c r="R98" i="1"/>
  <c r="S98" i="1"/>
  <c r="R99" i="1"/>
  <c r="S99" i="1"/>
  <c r="R100" i="1"/>
  <c r="S100" i="1"/>
  <c r="R101" i="1"/>
  <c r="S101" i="1"/>
  <c r="R102" i="1"/>
  <c r="S102" i="1"/>
  <c r="R103" i="1"/>
  <c r="S103" i="1"/>
  <c r="R104" i="1"/>
  <c r="S104" i="1"/>
  <c r="R105" i="1"/>
  <c r="S105" i="1"/>
  <c r="R106" i="1"/>
  <c r="S106" i="1"/>
  <c r="R107" i="1"/>
  <c r="S107" i="1"/>
  <c r="R108" i="1"/>
  <c r="S108" i="1"/>
  <c r="R109" i="1"/>
  <c r="S109" i="1"/>
  <c r="R110" i="1"/>
  <c r="S110" i="1"/>
  <c r="R111" i="1"/>
  <c r="S111" i="1"/>
  <c r="R112" i="1"/>
  <c r="S112" i="1"/>
  <c r="R113" i="1"/>
  <c r="S113" i="1"/>
  <c r="R114" i="1"/>
  <c r="S114" i="1"/>
  <c r="R115" i="1"/>
  <c r="S115" i="1"/>
  <c r="R116" i="1"/>
  <c r="S116" i="1"/>
  <c r="R117" i="1"/>
  <c r="S117" i="1"/>
  <c r="R118" i="1"/>
  <c r="S118" i="1"/>
  <c r="R119" i="1"/>
  <c r="S119" i="1"/>
  <c r="R120" i="1"/>
  <c r="S120" i="1"/>
  <c r="R121" i="1"/>
  <c r="S121" i="1"/>
  <c r="R122" i="1"/>
  <c r="S122" i="1"/>
  <c r="R123" i="1"/>
  <c r="S123" i="1"/>
  <c r="R124" i="1"/>
  <c r="S124" i="1"/>
  <c r="R125" i="1"/>
  <c r="S125" i="1"/>
  <c r="R126" i="1"/>
  <c r="S126" i="1"/>
  <c r="R127" i="1"/>
  <c r="S127" i="1"/>
  <c r="R128" i="1"/>
  <c r="S128" i="1"/>
  <c r="R129" i="1"/>
  <c r="S129" i="1"/>
  <c r="R130" i="1"/>
  <c r="S130" i="1"/>
  <c r="R131" i="1"/>
  <c r="S131" i="1"/>
  <c r="R132" i="1"/>
  <c r="S132" i="1"/>
  <c r="R133" i="1"/>
  <c r="S133" i="1"/>
  <c r="R134" i="1"/>
  <c r="S134" i="1"/>
  <c r="R135" i="1"/>
  <c r="S135" i="1"/>
  <c r="R136" i="1"/>
  <c r="S136" i="1"/>
  <c r="R137" i="1"/>
  <c r="S137" i="1"/>
  <c r="R138" i="1"/>
  <c r="S138" i="1"/>
  <c r="R139" i="1"/>
  <c r="S139" i="1"/>
  <c r="R140" i="1"/>
  <c r="S140" i="1"/>
  <c r="R141" i="1"/>
  <c r="S141" i="1"/>
  <c r="R142" i="1"/>
  <c r="S142" i="1"/>
  <c r="R143" i="1"/>
  <c r="S143" i="1"/>
  <c r="R144" i="1"/>
  <c r="S144" i="1"/>
  <c r="R145" i="1"/>
  <c r="S145" i="1"/>
  <c r="R146" i="1"/>
  <c r="S146" i="1"/>
  <c r="R147" i="1"/>
  <c r="S147" i="1"/>
  <c r="R148" i="1"/>
  <c r="S148" i="1"/>
  <c r="R149" i="1"/>
  <c r="S149" i="1"/>
  <c r="R150" i="1"/>
  <c r="S150" i="1"/>
  <c r="R151" i="1"/>
  <c r="S151" i="1"/>
  <c r="R152" i="1"/>
  <c r="S152" i="1"/>
  <c r="R153" i="1"/>
  <c r="S153" i="1"/>
  <c r="R154" i="1"/>
  <c r="S154" i="1"/>
  <c r="R155" i="1"/>
  <c r="S155" i="1"/>
  <c r="R156" i="1"/>
  <c r="S156" i="1"/>
  <c r="R157" i="1"/>
  <c r="S157" i="1"/>
  <c r="R158" i="1"/>
  <c r="S158" i="1"/>
  <c r="R159" i="1"/>
  <c r="S159" i="1"/>
  <c r="R160" i="1"/>
  <c r="S160" i="1"/>
  <c r="R161" i="1"/>
  <c r="S161" i="1"/>
  <c r="R162" i="1"/>
  <c r="S162" i="1"/>
  <c r="R163" i="1"/>
  <c r="S163" i="1"/>
  <c r="R164" i="1"/>
  <c r="S164" i="1"/>
  <c r="R165" i="1"/>
  <c r="S165" i="1"/>
  <c r="R166" i="1"/>
  <c r="S166" i="1"/>
  <c r="R167" i="1"/>
  <c r="S167" i="1"/>
  <c r="R168" i="1"/>
  <c r="S168" i="1"/>
  <c r="R169" i="1"/>
  <c r="S169" i="1"/>
  <c r="R170" i="1"/>
  <c r="S170" i="1"/>
  <c r="R171" i="1"/>
  <c r="S171" i="1"/>
  <c r="R172" i="1"/>
  <c r="S172" i="1"/>
  <c r="R173" i="1"/>
  <c r="S173" i="1"/>
  <c r="R174" i="1"/>
  <c r="S174" i="1"/>
  <c r="R175" i="1"/>
  <c r="S175" i="1"/>
  <c r="R176" i="1"/>
  <c r="S176" i="1"/>
  <c r="R177" i="1"/>
  <c r="S177" i="1"/>
  <c r="R178" i="1"/>
  <c r="S178" i="1"/>
  <c r="R179" i="1"/>
  <c r="S179" i="1"/>
  <c r="R180" i="1"/>
  <c r="S180" i="1"/>
  <c r="R181" i="1"/>
  <c r="S181" i="1"/>
  <c r="R182" i="1"/>
  <c r="S182" i="1"/>
  <c r="R183" i="1"/>
  <c r="S183" i="1"/>
  <c r="R184" i="1"/>
  <c r="S184" i="1"/>
  <c r="R185" i="1"/>
  <c r="S185" i="1"/>
  <c r="R186" i="1"/>
  <c r="S186" i="1"/>
  <c r="R187" i="1"/>
  <c r="S187" i="1"/>
  <c r="R188" i="1"/>
  <c r="S188" i="1"/>
  <c r="R189" i="1"/>
  <c r="S189" i="1"/>
  <c r="R190" i="1"/>
  <c r="S190" i="1"/>
  <c r="R191" i="1"/>
  <c r="S191" i="1"/>
  <c r="R192" i="1"/>
  <c r="S192" i="1"/>
  <c r="R193" i="1"/>
  <c r="S193" i="1"/>
  <c r="R194" i="1"/>
  <c r="S194" i="1"/>
  <c r="R195" i="1"/>
  <c r="S195" i="1"/>
  <c r="R196" i="1"/>
  <c r="S196" i="1"/>
  <c r="R197" i="1"/>
  <c r="S197" i="1"/>
  <c r="R198" i="1"/>
  <c r="S198" i="1"/>
  <c r="R199" i="1"/>
  <c r="S199" i="1"/>
  <c r="R200" i="1"/>
  <c r="S200" i="1"/>
  <c r="R201" i="1"/>
  <c r="S201" i="1"/>
  <c r="R202" i="1"/>
  <c r="S202" i="1"/>
  <c r="R203" i="1"/>
  <c r="S203" i="1"/>
  <c r="R204" i="1"/>
  <c r="S204" i="1"/>
  <c r="R205" i="1"/>
  <c r="S205" i="1"/>
  <c r="R206" i="1"/>
  <c r="S206" i="1"/>
  <c r="R207" i="1"/>
  <c r="S207" i="1"/>
  <c r="R208" i="1"/>
  <c r="S208" i="1"/>
  <c r="R209" i="1"/>
  <c r="S209" i="1"/>
  <c r="R210" i="1"/>
  <c r="S210" i="1"/>
  <c r="R211" i="1"/>
  <c r="S211" i="1"/>
  <c r="R212" i="1"/>
  <c r="S212" i="1"/>
  <c r="R213" i="1"/>
  <c r="S213" i="1"/>
  <c r="R214" i="1"/>
  <c r="S214" i="1"/>
  <c r="R215" i="1"/>
  <c r="S215" i="1"/>
  <c r="R216" i="1"/>
  <c r="S216" i="1"/>
  <c r="R217" i="1"/>
  <c r="S217" i="1"/>
  <c r="R218" i="1"/>
  <c r="S218" i="1"/>
  <c r="R219" i="1"/>
  <c r="S219" i="1"/>
  <c r="R220" i="1"/>
  <c r="S220" i="1"/>
  <c r="R221" i="1"/>
  <c r="S221" i="1"/>
  <c r="R222" i="1"/>
  <c r="S222" i="1"/>
  <c r="R223" i="1"/>
  <c r="S223" i="1"/>
  <c r="R224" i="1"/>
  <c r="S224" i="1"/>
  <c r="R225" i="1"/>
  <c r="S225" i="1"/>
  <c r="R226" i="1"/>
  <c r="S226" i="1"/>
  <c r="R227" i="1"/>
  <c r="S227" i="1"/>
  <c r="R228" i="1"/>
  <c r="S228" i="1"/>
  <c r="R229" i="1"/>
  <c r="S229" i="1"/>
  <c r="R230" i="1"/>
  <c r="S230" i="1"/>
  <c r="R231" i="1"/>
  <c r="S231" i="1"/>
  <c r="R232" i="1"/>
  <c r="S232" i="1"/>
  <c r="R233" i="1"/>
  <c r="S233" i="1"/>
  <c r="R234" i="1"/>
  <c r="S234" i="1"/>
  <c r="R235" i="1"/>
  <c r="S235" i="1"/>
  <c r="R236" i="1"/>
  <c r="S236" i="1"/>
  <c r="R237" i="1"/>
  <c r="S237" i="1"/>
  <c r="R238" i="1"/>
  <c r="S238" i="1"/>
  <c r="R239" i="1"/>
  <c r="S239" i="1"/>
  <c r="R240" i="1"/>
  <c r="S240" i="1"/>
  <c r="R241" i="1"/>
  <c r="S241" i="1"/>
  <c r="R242" i="1"/>
  <c r="S242" i="1"/>
  <c r="R243" i="1"/>
  <c r="S243" i="1"/>
  <c r="R244" i="1"/>
  <c r="S244" i="1"/>
  <c r="R245" i="1"/>
  <c r="S245" i="1"/>
  <c r="R246" i="1"/>
  <c r="S246" i="1"/>
  <c r="R247" i="1"/>
  <c r="S247" i="1"/>
  <c r="R248" i="1"/>
  <c r="S248" i="1"/>
  <c r="R249" i="1"/>
  <c r="S249" i="1"/>
  <c r="R250" i="1"/>
  <c r="S250" i="1"/>
  <c r="R251" i="1"/>
  <c r="S251" i="1"/>
  <c r="R252" i="1"/>
  <c r="S252" i="1"/>
  <c r="R253" i="1"/>
  <c r="S253" i="1"/>
  <c r="R254" i="1"/>
  <c r="S254" i="1"/>
  <c r="R255" i="1"/>
  <c r="S255" i="1"/>
  <c r="R256" i="1"/>
  <c r="S256" i="1"/>
  <c r="R257" i="1"/>
  <c r="S257" i="1"/>
  <c r="R258" i="1"/>
  <c r="S258" i="1"/>
  <c r="R259" i="1"/>
  <c r="S259" i="1"/>
  <c r="R260" i="1"/>
  <c r="S260" i="1"/>
  <c r="R261" i="1"/>
  <c r="S261" i="1"/>
  <c r="R262" i="1"/>
  <c r="S262" i="1"/>
  <c r="R263" i="1"/>
  <c r="S263" i="1"/>
  <c r="R264" i="1"/>
  <c r="S264" i="1"/>
  <c r="R265" i="1"/>
  <c r="S265" i="1"/>
  <c r="R266" i="1"/>
  <c r="S266" i="1"/>
  <c r="R267" i="1"/>
  <c r="S267" i="1"/>
  <c r="R268" i="1"/>
  <c r="S268" i="1"/>
  <c r="R269" i="1"/>
  <c r="S269" i="1"/>
  <c r="R270" i="1"/>
  <c r="S270" i="1"/>
  <c r="R271" i="1"/>
  <c r="S271" i="1"/>
  <c r="R272" i="1"/>
  <c r="S272" i="1"/>
  <c r="R273" i="1"/>
  <c r="S273" i="1"/>
  <c r="R274" i="1"/>
  <c r="S274" i="1"/>
  <c r="R275" i="1"/>
  <c r="S275" i="1"/>
  <c r="R276" i="1"/>
  <c r="S276" i="1"/>
  <c r="R277" i="1"/>
  <c r="S277" i="1"/>
  <c r="R278" i="1"/>
  <c r="S278" i="1"/>
  <c r="R279" i="1"/>
  <c r="S279" i="1"/>
  <c r="R280" i="1"/>
  <c r="S280" i="1"/>
  <c r="R281" i="1"/>
  <c r="S281" i="1"/>
  <c r="R282" i="1"/>
  <c r="S282" i="1"/>
  <c r="R283" i="1"/>
  <c r="S283" i="1"/>
  <c r="R284" i="1"/>
  <c r="S284" i="1"/>
  <c r="R285" i="1"/>
  <c r="S285" i="1"/>
  <c r="R286" i="1"/>
  <c r="S286" i="1"/>
  <c r="R287" i="1"/>
  <c r="S287" i="1"/>
  <c r="R288" i="1"/>
  <c r="S288" i="1"/>
  <c r="R289" i="1"/>
  <c r="S289" i="1"/>
  <c r="R290" i="1"/>
  <c r="S290" i="1"/>
  <c r="R291" i="1"/>
  <c r="S291" i="1"/>
  <c r="R292" i="1"/>
  <c r="S292" i="1"/>
  <c r="R293" i="1"/>
  <c r="S293" i="1"/>
  <c r="R294" i="1"/>
  <c r="S294" i="1"/>
  <c r="R295" i="1"/>
  <c r="S295" i="1"/>
  <c r="R296" i="1"/>
  <c r="S296" i="1"/>
  <c r="R297" i="1"/>
  <c r="S297" i="1"/>
  <c r="R298" i="1"/>
  <c r="S298" i="1"/>
  <c r="R299" i="1"/>
  <c r="S299" i="1"/>
  <c r="R300" i="1"/>
  <c r="S300" i="1"/>
  <c r="R301" i="1"/>
  <c r="S301" i="1"/>
  <c r="R302" i="1"/>
  <c r="S302" i="1"/>
  <c r="R303" i="1"/>
  <c r="S303" i="1"/>
  <c r="R304" i="1"/>
  <c r="S304" i="1"/>
  <c r="R305" i="1"/>
  <c r="S305" i="1"/>
  <c r="R306" i="1"/>
  <c r="S306" i="1"/>
  <c r="R307" i="1"/>
  <c r="S307" i="1"/>
  <c r="R308" i="1"/>
  <c r="S308" i="1"/>
  <c r="R309" i="1"/>
  <c r="S309" i="1"/>
  <c r="R310" i="1"/>
  <c r="S310" i="1"/>
  <c r="R311" i="1"/>
  <c r="S311" i="1"/>
  <c r="R312" i="1"/>
  <c r="S312" i="1"/>
  <c r="R313" i="1"/>
  <c r="S313" i="1"/>
  <c r="R314" i="1"/>
  <c r="S314" i="1"/>
  <c r="R315" i="1"/>
  <c r="S315" i="1"/>
  <c r="R316" i="1"/>
  <c r="S316" i="1"/>
  <c r="R317" i="1"/>
  <c r="S317" i="1"/>
  <c r="R318" i="1"/>
  <c r="S318" i="1"/>
  <c r="R319" i="1"/>
  <c r="S319" i="1"/>
  <c r="R320" i="1"/>
  <c r="S320" i="1"/>
  <c r="R321" i="1"/>
  <c r="S321" i="1"/>
  <c r="R322" i="1"/>
  <c r="S322" i="1"/>
  <c r="R323" i="1"/>
  <c r="S323" i="1"/>
  <c r="R324" i="1"/>
  <c r="S324" i="1"/>
  <c r="R325" i="1"/>
  <c r="S325" i="1"/>
  <c r="R326" i="1"/>
  <c r="S326" i="1"/>
  <c r="R327" i="1"/>
  <c r="S327" i="1"/>
  <c r="R328" i="1"/>
  <c r="S328" i="1"/>
  <c r="R329" i="1"/>
  <c r="S329" i="1"/>
  <c r="R330" i="1"/>
  <c r="S330" i="1"/>
  <c r="R331" i="1"/>
  <c r="S331" i="1"/>
  <c r="R332" i="1"/>
  <c r="S332" i="1"/>
  <c r="R333" i="1"/>
  <c r="S333" i="1"/>
  <c r="R334" i="1"/>
  <c r="S334" i="1"/>
  <c r="R335" i="1"/>
  <c r="S335" i="1"/>
  <c r="R336" i="1"/>
  <c r="S336" i="1"/>
  <c r="R337" i="1"/>
  <c r="S337" i="1"/>
  <c r="R338" i="1"/>
  <c r="S338" i="1"/>
  <c r="R339" i="1"/>
  <c r="S339" i="1"/>
  <c r="R340" i="1"/>
  <c r="S340" i="1"/>
  <c r="R341" i="1"/>
  <c r="S341" i="1"/>
  <c r="R342" i="1"/>
  <c r="S342" i="1"/>
  <c r="R343" i="1"/>
  <c r="S343" i="1"/>
  <c r="R344" i="1"/>
  <c r="S344" i="1"/>
  <c r="R345" i="1"/>
  <c r="S345" i="1"/>
  <c r="R346" i="1"/>
  <c r="S346" i="1"/>
  <c r="R347" i="1"/>
  <c r="S347" i="1"/>
  <c r="R348" i="1"/>
  <c r="S348" i="1"/>
  <c r="R349" i="1"/>
  <c r="S349" i="1"/>
  <c r="R350" i="1"/>
  <c r="S350" i="1"/>
  <c r="R351" i="1"/>
  <c r="S351" i="1"/>
  <c r="R352" i="1"/>
  <c r="S352" i="1"/>
  <c r="R353" i="1"/>
  <c r="S353" i="1"/>
  <c r="R354" i="1"/>
  <c r="S354" i="1"/>
  <c r="R355" i="1"/>
  <c r="S355" i="1"/>
  <c r="R356" i="1"/>
  <c r="S356" i="1"/>
  <c r="R357" i="1"/>
  <c r="S357" i="1"/>
  <c r="R358" i="1"/>
  <c r="S358" i="1"/>
  <c r="R359" i="1"/>
  <c r="S359" i="1"/>
  <c r="R360" i="1"/>
  <c r="S360" i="1"/>
  <c r="R361" i="1"/>
  <c r="S361" i="1"/>
  <c r="R362" i="1"/>
  <c r="S362" i="1"/>
  <c r="R363" i="1"/>
  <c r="S363" i="1"/>
  <c r="R364" i="1"/>
  <c r="S364" i="1"/>
  <c r="R365" i="1"/>
  <c r="S365" i="1"/>
  <c r="R366" i="1"/>
  <c r="S366" i="1"/>
  <c r="R367" i="1"/>
  <c r="S367" i="1"/>
  <c r="R368" i="1"/>
  <c r="S368" i="1"/>
  <c r="R369" i="1"/>
  <c r="S369" i="1"/>
  <c r="R370" i="1"/>
  <c r="S370" i="1"/>
  <c r="R371" i="1"/>
  <c r="S371" i="1"/>
  <c r="R372" i="1"/>
  <c r="S372" i="1"/>
  <c r="R373" i="1"/>
  <c r="S373" i="1"/>
  <c r="R374" i="1"/>
  <c r="S374" i="1"/>
  <c r="R375" i="1"/>
  <c r="S375" i="1"/>
  <c r="R376" i="1"/>
  <c r="S376" i="1"/>
  <c r="R377" i="1"/>
  <c r="S377" i="1"/>
  <c r="R378" i="1"/>
  <c r="S378" i="1"/>
  <c r="R379" i="1"/>
  <c r="S379" i="1"/>
  <c r="R380" i="1"/>
  <c r="S380" i="1"/>
  <c r="R381" i="1"/>
  <c r="S381" i="1"/>
  <c r="R382" i="1"/>
  <c r="S382" i="1"/>
  <c r="R383" i="1"/>
  <c r="S383" i="1"/>
  <c r="R384" i="1"/>
  <c r="S384" i="1"/>
  <c r="R385" i="1"/>
  <c r="S385" i="1"/>
  <c r="R386" i="1"/>
  <c r="S386" i="1"/>
  <c r="R387" i="1"/>
  <c r="S387" i="1"/>
  <c r="R388" i="1"/>
  <c r="S388" i="1"/>
  <c r="R389" i="1"/>
  <c r="S389" i="1"/>
  <c r="R390" i="1"/>
  <c r="S390" i="1"/>
  <c r="R391" i="1"/>
  <c r="S391" i="1"/>
  <c r="R392" i="1"/>
  <c r="S392" i="1"/>
  <c r="R393" i="1"/>
  <c r="S393" i="1"/>
  <c r="R394" i="1"/>
  <c r="S394" i="1"/>
  <c r="R395" i="1"/>
  <c r="S395" i="1"/>
  <c r="R396" i="1"/>
  <c r="S396" i="1"/>
  <c r="R397" i="1"/>
  <c r="S397" i="1"/>
  <c r="R398" i="1"/>
  <c r="S398" i="1"/>
  <c r="R399" i="1"/>
  <c r="S399" i="1"/>
  <c r="R400" i="1"/>
  <c r="S400" i="1"/>
  <c r="R401" i="1"/>
  <c r="S401" i="1"/>
  <c r="R402" i="1"/>
  <c r="S402" i="1"/>
  <c r="R403" i="1"/>
  <c r="S403" i="1"/>
  <c r="R404" i="1"/>
  <c r="S404" i="1"/>
  <c r="R405" i="1"/>
  <c r="S405" i="1"/>
  <c r="R406" i="1"/>
  <c r="S406" i="1"/>
  <c r="R407" i="1"/>
  <c r="S407" i="1"/>
  <c r="R408" i="1"/>
  <c r="S408" i="1"/>
  <c r="R409" i="1"/>
  <c r="S409" i="1"/>
  <c r="R410" i="1"/>
  <c r="S410" i="1"/>
  <c r="R411" i="1"/>
  <c r="S411" i="1"/>
  <c r="R412" i="1"/>
  <c r="S412" i="1"/>
  <c r="R413" i="1"/>
  <c r="S413" i="1"/>
  <c r="R414" i="1"/>
  <c r="S414" i="1"/>
  <c r="R415" i="1"/>
  <c r="S415" i="1"/>
  <c r="R416" i="1"/>
  <c r="S416" i="1"/>
  <c r="R417" i="1"/>
  <c r="S417" i="1"/>
  <c r="R418" i="1"/>
  <c r="S418" i="1"/>
  <c r="R419" i="1"/>
  <c r="S419" i="1"/>
  <c r="R420" i="1"/>
  <c r="S420" i="1"/>
  <c r="R421" i="1"/>
  <c r="S421" i="1"/>
  <c r="R422" i="1"/>
  <c r="S422" i="1"/>
  <c r="R423" i="1"/>
  <c r="S423" i="1"/>
  <c r="R424" i="1"/>
  <c r="S424" i="1"/>
  <c r="R425" i="1"/>
  <c r="S425" i="1"/>
  <c r="R426" i="1"/>
  <c r="S426" i="1"/>
  <c r="R427" i="1"/>
  <c r="S427" i="1"/>
  <c r="R428" i="1"/>
  <c r="S428" i="1"/>
  <c r="R429" i="1"/>
  <c r="S429" i="1"/>
  <c r="R430" i="1"/>
  <c r="S430" i="1"/>
  <c r="R431" i="1"/>
  <c r="S431" i="1"/>
  <c r="R432" i="1"/>
  <c r="S432" i="1"/>
  <c r="R433" i="1"/>
  <c r="S433" i="1"/>
  <c r="R434" i="1"/>
  <c r="S434" i="1"/>
  <c r="R435" i="1"/>
  <c r="S435" i="1"/>
  <c r="R436" i="1"/>
  <c r="S436" i="1"/>
  <c r="R437" i="1"/>
  <c r="S437" i="1"/>
  <c r="R438" i="1"/>
  <c r="S438" i="1"/>
  <c r="R439" i="1"/>
  <c r="S439" i="1"/>
  <c r="R440" i="1"/>
  <c r="S440" i="1"/>
  <c r="R441" i="1"/>
  <c r="S441" i="1"/>
  <c r="R442" i="1"/>
  <c r="S442" i="1"/>
  <c r="R443" i="1"/>
  <c r="S443" i="1"/>
  <c r="R444" i="1"/>
  <c r="S444" i="1"/>
  <c r="R445" i="1"/>
  <c r="S445" i="1"/>
  <c r="R446" i="1"/>
  <c r="S446" i="1"/>
  <c r="R447" i="1"/>
  <c r="S447" i="1"/>
  <c r="R448" i="1"/>
  <c r="S448" i="1"/>
  <c r="R449" i="1"/>
  <c r="S449" i="1"/>
  <c r="R450" i="1"/>
  <c r="S450" i="1"/>
  <c r="R451" i="1"/>
  <c r="S451" i="1"/>
  <c r="R452" i="1"/>
  <c r="S452" i="1"/>
  <c r="R453" i="1"/>
  <c r="S453" i="1"/>
  <c r="R454" i="1"/>
  <c r="S454" i="1"/>
  <c r="R455" i="1"/>
  <c r="S455" i="1"/>
  <c r="R456" i="1"/>
  <c r="S456" i="1"/>
  <c r="R457" i="1"/>
  <c r="S457" i="1"/>
  <c r="R458" i="1"/>
  <c r="S458" i="1"/>
  <c r="R459" i="1"/>
  <c r="S459" i="1"/>
  <c r="R460" i="1"/>
  <c r="S460" i="1"/>
  <c r="R461" i="1"/>
  <c r="S461" i="1"/>
  <c r="R462" i="1"/>
  <c r="S462" i="1"/>
  <c r="R463" i="1"/>
  <c r="S463" i="1"/>
  <c r="R464" i="1"/>
  <c r="S464" i="1"/>
  <c r="R465" i="1"/>
  <c r="S465" i="1"/>
  <c r="R466" i="1"/>
  <c r="S466" i="1"/>
  <c r="R467" i="1"/>
  <c r="S467" i="1"/>
  <c r="R468" i="1"/>
  <c r="S468" i="1"/>
  <c r="R469" i="1"/>
  <c r="S469" i="1"/>
  <c r="R470" i="1"/>
  <c r="S470" i="1"/>
  <c r="R471" i="1"/>
  <c r="S471" i="1"/>
  <c r="R472" i="1"/>
  <c r="S472" i="1"/>
  <c r="R473" i="1"/>
  <c r="S473" i="1"/>
  <c r="R474" i="1"/>
  <c r="S474" i="1"/>
  <c r="R475" i="1"/>
  <c r="S475" i="1"/>
  <c r="R476" i="1"/>
  <c r="S476" i="1"/>
  <c r="R477" i="1"/>
  <c r="S477" i="1"/>
  <c r="R478" i="1"/>
  <c r="S478" i="1"/>
  <c r="R479" i="1"/>
  <c r="S479" i="1"/>
  <c r="R480" i="1"/>
  <c r="S480" i="1"/>
  <c r="R481" i="1"/>
  <c r="S481" i="1"/>
  <c r="R482" i="1"/>
  <c r="S482" i="1"/>
  <c r="R483" i="1"/>
  <c r="S483" i="1"/>
  <c r="R484" i="1"/>
  <c r="S484" i="1"/>
  <c r="R485" i="1"/>
  <c r="S485" i="1"/>
  <c r="R486" i="1"/>
  <c r="S486" i="1"/>
  <c r="R487" i="1"/>
  <c r="S487" i="1"/>
  <c r="R488" i="1"/>
  <c r="S488" i="1"/>
  <c r="R489" i="1"/>
  <c r="S489" i="1"/>
  <c r="R490" i="1"/>
  <c r="S490" i="1"/>
  <c r="R491" i="1"/>
  <c r="S491" i="1"/>
  <c r="R492" i="1"/>
  <c r="S492" i="1"/>
  <c r="R493" i="1"/>
  <c r="S493" i="1"/>
  <c r="R494" i="1"/>
  <c r="S494" i="1"/>
  <c r="R495" i="1"/>
  <c r="S495" i="1"/>
  <c r="R496" i="1"/>
  <c r="S496" i="1"/>
  <c r="R497" i="1"/>
  <c r="S497" i="1"/>
  <c r="R498" i="1"/>
  <c r="S498" i="1"/>
  <c r="R499" i="1"/>
  <c r="S499" i="1"/>
  <c r="R500" i="1"/>
  <c r="S500" i="1"/>
  <c r="R501" i="1"/>
  <c r="S501" i="1"/>
  <c r="R502" i="1"/>
  <c r="S502" i="1"/>
  <c r="R503" i="1"/>
  <c r="S503" i="1"/>
  <c r="R504" i="1"/>
  <c r="S504" i="1"/>
  <c r="R505" i="1"/>
  <c r="S505" i="1"/>
  <c r="R506" i="1"/>
  <c r="S506" i="1"/>
  <c r="R507" i="1"/>
  <c r="S507" i="1"/>
  <c r="R508" i="1"/>
  <c r="S508" i="1"/>
  <c r="R509" i="1"/>
  <c r="S509" i="1"/>
  <c r="R510" i="1"/>
  <c r="S510" i="1"/>
  <c r="R511" i="1"/>
  <c r="S511" i="1"/>
  <c r="R512" i="1"/>
  <c r="S512" i="1"/>
  <c r="R513" i="1"/>
  <c r="S513" i="1"/>
  <c r="R514" i="1"/>
  <c r="S514" i="1"/>
  <c r="R515" i="1"/>
  <c r="S515" i="1"/>
  <c r="R516" i="1"/>
  <c r="S516" i="1"/>
  <c r="R517" i="1"/>
  <c r="S517" i="1"/>
  <c r="R518" i="1"/>
  <c r="S518" i="1"/>
  <c r="R519" i="1"/>
  <c r="S519" i="1"/>
  <c r="R520" i="1"/>
  <c r="S520" i="1"/>
  <c r="R521" i="1"/>
  <c r="S521" i="1"/>
  <c r="R522" i="1"/>
  <c r="S522" i="1"/>
  <c r="R523" i="1"/>
  <c r="S523" i="1"/>
  <c r="R524" i="1"/>
  <c r="S524" i="1"/>
  <c r="R525" i="1"/>
  <c r="S525" i="1"/>
  <c r="R526" i="1"/>
  <c r="S526" i="1"/>
  <c r="R527" i="1"/>
  <c r="S527" i="1"/>
  <c r="R528" i="1"/>
  <c r="S528" i="1"/>
  <c r="R529" i="1"/>
  <c r="S529" i="1"/>
  <c r="R530" i="1"/>
  <c r="S530" i="1"/>
  <c r="R531" i="1"/>
  <c r="S531" i="1"/>
  <c r="R532" i="1"/>
  <c r="S532" i="1"/>
  <c r="R533" i="1"/>
  <c r="S533" i="1"/>
  <c r="R534" i="1"/>
  <c r="S534" i="1"/>
  <c r="R535" i="1"/>
  <c r="S535" i="1"/>
  <c r="R536" i="1"/>
  <c r="S536" i="1"/>
  <c r="R537" i="1"/>
  <c r="S537" i="1"/>
  <c r="R538" i="1"/>
  <c r="S538" i="1"/>
  <c r="R539" i="1"/>
  <c r="S539" i="1"/>
  <c r="R540" i="1"/>
  <c r="S540" i="1"/>
  <c r="R541" i="1"/>
  <c r="S541" i="1"/>
  <c r="R542" i="1"/>
  <c r="S542" i="1"/>
  <c r="R543" i="1"/>
  <c r="S543" i="1"/>
  <c r="R544" i="1"/>
  <c r="S544" i="1"/>
  <c r="R545" i="1"/>
  <c r="S545" i="1"/>
  <c r="R546" i="1"/>
  <c r="S546" i="1"/>
  <c r="R547" i="1"/>
  <c r="S547" i="1"/>
  <c r="R548" i="1"/>
  <c r="S548" i="1"/>
  <c r="R549" i="1"/>
  <c r="S549" i="1"/>
  <c r="R550" i="1"/>
  <c r="S550" i="1"/>
  <c r="R551" i="1"/>
  <c r="S551" i="1"/>
  <c r="R552" i="1"/>
  <c r="S552" i="1"/>
  <c r="R553" i="1"/>
  <c r="S553" i="1"/>
  <c r="R554" i="1"/>
  <c r="S554" i="1"/>
  <c r="R555" i="1"/>
  <c r="S555" i="1"/>
  <c r="R556" i="1"/>
  <c r="S556" i="1"/>
  <c r="R557" i="1"/>
  <c r="S557" i="1"/>
  <c r="R558" i="1"/>
  <c r="S558" i="1"/>
  <c r="R559" i="1"/>
  <c r="S559" i="1"/>
  <c r="R560" i="1"/>
  <c r="S560" i="1"/>
  <c r="R561" i="1"/>
  <c r="S561" i="1"/>
  <c r="R562" i="1"/>
  <c r="S562" i="1"/>
  <c r="R563" i="1"/>
  <c r="S563" i="1"/>
  <c r="R564" i="1"/>
  <c r="S564" i="1"/>
  <c r="R565" i="1"/>
  <c r="S565" i="1"/>
  <c r="R566" i="1"/>
  <c r="S566" i="1"/>
  <c r="R567" i="1"/>
  <c r="S567" i="1"/>
  <c r="R568" i="1"/>
  <c r="S568" i="1"/>
  <c r="R569" i="1"/>
  <c r="S569" i="1"/>
  <c r="R570" i="1"/>
  <c r="S570" i="1"/>
  <c r="R571" i="1"/>
  <c r="S571" i="1"/>
  <c r="R572" i="1"/>
  <c r="S572" i="1"/>
  <c r="R573" i="1"/>
  <c r="S573" i="1"/>
  <c r="R574" i="1"/>
  <c r="S574" i="1"/>
  <c r="R575" i="1"/>
  <c r="S575" i="1"/>
  <c r="R576" i="1"/>
  <c r="S576" i="1"/>
  <c r="R577" i="1"/>
  <c r="S577" i="1"/>
  <c r="R578" i="1"/>
  <c r="S578" i="1"/>
  <c r="R579" i="1"/>
  <c r="S579" i="1"/>
  <c r="R580" i="1"/>
  <c r="S580" i="1"/>
  <c r="R581" i="1"/>
  <c r="S581" i="1"/>
  <c r="R582" i="1"/>
  <c r="S582" i="1"/>
  <c r="R583" i="1"/>
  <c r="S583" i="1"/>
  <c r="R584" i="1"/>
  <c r="S584" i="1"/>
  <c r="R585" i="1"/>
  <c r="S585" i="1"/>
  <c r="R586" i="1"/>
  <c r="S586" i="1"/>
  <c r="R587" i="1"/>
  <c r="S587" i="1"/>
  <c r="R588" i="1"/>
  <c r="S588" i="1"/>
  <c r="R589" i="1"/>
  <c r="S589" i="1"/>
  <c r="R590" i="1"/>
  <c r="S590" i="1"/>
  <c r="R591" i="1"/>
  <c r="S591" i="1"/>
  <c r="R592" i="1"/>
  <c r="S592" i="1"/>
  <c r="R593" i="1"/>
  <c r="S593" i="1"/>
  <c r="R594" i="1"/>
  <c r="S594" i="1"/>
  <c r="R595" i="1"/>
  <c r="S595" i="1"/>
  <c r="R596" i="1"/>
  <c r="S596" i="1"/>
  <c r="R597" i="1"/>
  <c r="S597" i="1"/>
  <c r="R598" i="1"/>
  <c r="S598" i="1"/>
  <c r="R599" i="1"/>
  <c r="S599" i="1"/>
  <c r="R600" i="1"/>
  <c r="S600" i="1"/>
  <c r="R601" i="1"/>
  <c r="S601" i="1"/>
  <c r="R602" i="1"/>
  <c r="S602" i="1"/>
  <c r="R603" i="1"/>
  <c r="S603" i="1"/>
  <c r="R604" i="1"/>
  <c r="S604" i="1"/>
  <c r="R605" i="1"/>
  <c r="S605" i="1"/>
  <c r="R606" i="1"/>
  <c r="S606" i="1"/>
  <c r="R607" i="1"/>
  <c r="S607" i="1"/>
  <c r="R608" i="1"/>
  <c r="S608" i="1"/>
  <c r="R609" i="1"/>
  <c r="S609" i="1"/>
  <c r="R610" i="1"/>
  <c r="S610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U21" i="1" s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U49" i="1" s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U63" i="1" s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U77" i="1" s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U91" i="1" s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U147" i="1" s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U175" i="1" s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U189" i="1" s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U203" i="1" s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U217" i="1" s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U231" i="1" s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U245" i="1" s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U259" i="1" s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U287" i="1" s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U329" i="1" s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U343" i="1" s="1"/>
  <c r="T344" i="1"/>
  <c r="T345" i="1"/>
  <c r="T346" i="1"/>
  <c r="U346" i="1" s="1"/>
  <c r="T347" i="1"/>
  <c r="T348" i="1"/>
  <c r="T349" i="1"/>
  <c r="T350" i="1"/>
  <c r="T351" i="1"/>
  <c r="T352" i="1"/>
  <c r="T353" i="1"/>
  <c r="T354" i="1"/>
  <c r="T355" i="1"/>
  <c r="T356" i="1"/>
  <c r="T357" i="1"/>
  <c r="U357" i="1" s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U486" i="1" s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U570" i="1" s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3" i="1"/>
  <c r="U66" i="1"/>
  <c r="AP106" i="1" l="1"/>
  <c r="AQ16" i="1"/>
  <c r="AQ576" i="1"/>
  <c r="AQ411" i="1"/>
  <c r="AQ391" i="1"/>
  <c r="AQ21" i="1"/>
  <c r="AQ119" i="1"/>
  <c r="AQ161" i="1"/>
  <c r="AQ399" i="1"/>
  <c r="AQ455" i="1"/>
  <c r="AQ497" i="1"/>
  <c r="AR497" i="1" s="1"/>
  <c r="AQ609" i="1"/>
  <c r="AP435" i="1"/>
  <c r="AP589" i="1"/>
  <c r="AP44" i="1"/>
  <c r="AP576" i="1"/>
  <c r="AQ24" i="1"/>
  <c r="AP36" i="1"/>
  <c r="AP372" i="1"/>
  <c r="AQ441" i="1"/>
  <c r="AQ567" i="1"/>
  <c r="AQ33" i="1"/>
  <c r="AP517" i="1"/>
  <c r="AR517" i="1" s="1"/>
  <c r="AQ512" i="1"/>
  <c r="AQ62" i="1"/>
  <c r="AQ160" i="1"/>
  <c r="AQ258" i="1"/>
  <c r="AQ482" i="1"/>
  <c r="AQ76" i="1"/>
  <c r="AQ506" i="1"/>
  <c r="AQ562" i="1"/>
  <c r="AP124" i="1"/>
  <c r="AP250" i="1"/>
  <c r="AP390" i="1"/>
  <c r="AP418" i="1"/>
  <c r="AQ7" i="1"/>
  <c r="AQ343" i="1"/>
  <c r="AP489" i="1"/>
  <c r="AR489" i="1" s="1"/>
  <c r="AQ36" i="1"/>
  <c r="AR36" i="1" s="1"/>
  <c r="AQ77" i="1"/>
  <c r="AQ203" i="1"/>
  <c r="AQ133" i="1"/>
  <c r="AQ245" i="1"/>
  <c r="AQ539" i="1"/>
  <c r="AQ61" i="1"/>
  <c r="AP27" i="1"/>
  <c r="AP55" i="1"/>
  <c r="AP69" i="1"/>
  <c r="AR69" i="1" s="1"/>
  <c r="AP97" i="1"/>
  <c r="AR97" i="1" s="1"/>
  <c r="AP125" i="1"/>
  <c r="AP153" i="1"/>
  <c r="AP181" i="1"/>
  <c r="AP209" i="1"/>
  <c r="AP223" i="1"/>
  <c r="AR223" i="1" s="1"/>
  <c r="AP251" i="1"/>
  <c r="AP279" i="1"/>
  <c r="AP307" i="1"/>
  <c r="AP335" i="1"/>
  <c r="AP363" i="1"/>
  <c r="AP405" i="1"/>
  <c r="AQ148" i="1"/>
  <c r="AQ34" i="1"/>
  <c r="AQ118" i="1"/>
  <c r="AQ174" i="1"/>
  <c r="AQ230" i="1"/>
  <c r="AQ272" i="1"/>
  <c r="AQ314" i="1"/>
  <c r="AQ342" i="1"/>
  <c r="AQ398" i="1"/>
  <c r="AQ468" i="1"/>
  <c r="AQ496" i="1"/>
  <c r="AQ524" i="1"/>
  <c r="AQ566" i="1"/>
  <c r="AQ608" i="1"/>
  <c r="AP28" i="1"/>
  <c r="AP56" i="1"/>
  <c r="AP140" i="1"/>
  <c r="AP308" i="1"/>
  <c r="AQ176" i="1"/>
  <c r="AQ5" i="1"/>
  <c r="AQ75" i="1"/>
  <c r="AQ173" i="1"/>
  <c r="AQ271" i="1"/>
  <c r="AQ327" i="1"/>
  <c r="AP13" i="1"/>
  <c r="AP83" i="1"/>
  <c r="AP111" i="1"/>
  <c r="AP139" i="1"/>
  <c r="AP167" i="1"/>
  <c r="AP195" i="1"/>
  <c r="AP237" i="1"/>
  <c r="AP265" i="1"/>
  <c r="AP293" i="1"/>
  <c r="AP321" i="1"/>
  <c r="AP349" i="1"/>
  <c r="AP391" i="1"/>
  <c r="AR391" i="1" s="1"/>
  <c r="AP419" i="1"/>
  <c r="AP447" i="1"/>
  <c r="AP587" i="1"/>
  <c r="AQ344" i="1"/>
  <c r="AQ90" i="1"/>
  <c r="AQ146" i="1"/>
  <c r="AQ202" i="1"/>
  <c r="AQ244" i="1"/>
  <c r="AQ328" i="1"/>
  <c r="AQ356" i="1"/>
  <c r="AQ454" i="1"/>
  <c r="AQ510" i="1"/>
  <c r="AR510" i="1" s="1"/>
  <c r="AQ538" i="1"/>
  <c r="AQ594" i="1"/>
  <c r="AR594" i="1" s="1"/>
  <c r="AQ444" i="1"/>
  <c r="AQ556" i="1"/>
  <c r="AQ427" i="1"/>
  <c r="AP159" i="1"/>
  <c r="AP3" i="1"/>
  <c r="AP502" i="1"/>
  <c r="AP19" i="1"/>
  <c r="AR19" i="1" s="1"/>
  <c r="AP316" i="1"/>
  <c r="AR316" i="1" s="1"/>
  <c r="AP82" i="1"/>
  <c r="AP208" i="1"/>
  <c r="AQ19" i="1"/>
  <c r="U97" i="1"/>
  <c r="AQ426" i="1"/>
  <c r="AQ6" i="1"/>
  <c r="AQ104" i="1"/>
  <c r="AQ216" i="1"/>
  <c r="AQ300" i="1"/>
  <c r="AQ384" i="1"/>
  <c r="AQ580" i="1"/>
  <c r="AP7" i="1"/>
  <c r="AR7" i="1" s="1"/>
  <c r="AP21" i="1"/>
  <c r="AP245" i="1"/>
  <c r="AR245" i="1" s="1"/>
  <c r="AP385" i="1"/>
  <c r="AP455" i="1"/>
  <c r="AP581" i="1"/>
  <c r="AP138" i="1"/>
  <c r="AQ231" i="1"/>
  <c r="AQ47" i="1"/>
  <c r="AQ48" i="1"/>
  <c r="U482" i="1"/>
  <c r="U244" i="1"/>
  <c r="U118" i="1"/>
  <c r="U104" i="1"/>
  <c r="U34" i="1"/>
  <c r="AP8" i="1"/>
  <c r="AR8" i="1" s="1"/>
  <c r="AP246" i="1"/>
  <c r="AR246" i="1" s="1"/>
  <c r="AP330" i="1"/>
  <c r="AP358" i="1"/>
  <c r="AP386" i="1"/>
  <c r="AR386" i="1" s="1"/>
  <c r="AP428" i="1"/>
  <c r="AR428" i="1" s="1"/>
  <c r="AP470" i="1"/>
  <c r="AR470" i="1" s="1"/>
  <c r="AP498" i="1"/>
  <c r="AR498" i="1" s="1"/>
  <c r="AP26" i="1"/>
  <c r="AP96" i="1"/>
  <c r="AP166" i="1"/>
  <c r="AQ341" i="1"/>
  <c r="AP503" i="1"/>
  <c r="AQ20" i="1"/>
  <c r="AQ132" i="1"/>
  <c r="AQ286" i="1"/>
  <c r="AQ370" i="1"/>
  <c r="AQ552" i="1"/>
  <c r="AP18" i="1"/>
  <c r="AQ425" i="1"/>
  <c r="AR425" i="1" s="1"/>
  <c r="AP441" i="1"/>
  <c r="AR441" i="1" s="1"/>
  <c r="AQ29" i="1"/>
  <c r="AR29" i="1" s="1"/>
  <c r="AQ225" i="1"/>
  <c r="AQ309" i="1"/>
  <c r="AQ379" i="1"/>
  <c r="AQ491" i="1"/>
  <c r="AR491" i="1" s="1"/>
  <c r="AP274" i="1"/>
  <c r="AR274" i="1" s="1"/>
  <c r="AP188" i="1"/>
  <c r="AR188" i="1" s="1"/>
  <c r="AQ89" i="1"/>
  <c r="AR89" i="1" s="1"/>
  <c r="AQ103" i="1"/>
  <c r="AQ117" i="1"/>
  <c r="AQ131" i="1"/>
  <c r="AQ145" i="1"/>
  <c r="AQ159" i="1"/>
  <c r="AQ187" i="1"/>
  <c r="AQ201" i="1"/>
  <c r="AQ215" i="1"/>
  <c r="AQ229" i="1"/>
  <c r="AQ243" i="1"/>
  <c r="AQ257" i="1"/>
  <c r="AQ285" i="1"/>
  <c r="AQ299" i="1"/>
  <c r="AR299" i="1" s="1"/>
  <c r="AQ313" i="1"/>
  <c r="AQ355" i="1"/>
  <c r="AQ369" i="1"/>
  <c r="AQ383" i="1"/>
  <c r="AQ397" i="1"/>
  <c r="AQ439" i="1"/>
  <c r="AQ453" i="1"/>
  <c r="AQ467" i="1"/>
  <c r="AQ481" i="1"/>
  <c r="AQ495" i="1"/>
  <c r="AQ509" i="1"/>
  <c r="AQ523" i="1"/>
  <c r="AQ537" i="1"/>
  <c r="AQ551" i="1"/>
  <c r="AR551" i="1" s="1"/>
  <c r="AQ565" i="1"/>
  <c r="AQ579" i="1"/>
  <c r="AQ593" i="1"/>
  <c r="AQ607" i="1"/>
  <c r="AP434" i="1"/>
  <c r="AP462" i="1"/>
  <c r="AR462" i="1" s="1"/>
  <c r="AP532" i="1"/>
  <c r="AP574" i="1"/>
  <c r="AP602" i="1"/>
  <c r="AP189" i="1"/>
  <c r="AQ357" i="1"/>
  <c r="AQ413" i="1"/>
  <c r="AQ113" i="1"/>
  <c r="AQ155" i="1"/>
  <c r="AQ183" i="1"/>
  <c r="AQ267" i="1"/>
  <c r="AQ351" i="1"/>
  <c r="AQ393" i="1"/>
  <c r="AQ421" i="1"/>
  <c r="AQ435" i="1"/>
  <c r="AR435" i="1" s="1"/>
  <c r="AQ463" i="1"/>
  <c r="AQ533" i="1"/>
  <c r="AQ575" i="1"/>
  <c r="AQ603" i="1"/>
  <c r="AP204" i="1"/>
  <c r="AR204" i="1" s="1"/>
  <c r="AP442" i="1"/>
  <c r="AP43" i="1"/>
  <c r="AP342" i="1"/>
  <c r="AP564" i="1"/>
  <c r="AP29" i="1"/>
  <c r="AP426" i="1"/>
  <c r="AR426" i="1" s="1"/>
  <c r="AQ483" i="1"/>
  <c r="AP63" i="1"/>
  <c r="AQ78" i="1"/>
  <c r="AQ120" i="1"/>
  <c r="AP453" i="1"/>
  <c r="AQ281" i="1"/>
  <c r="AQ8" i="1"/>
  <c r="AQ63" i="1"/>
  <c r="AQ197" i="1"/>
  <c r="AR197" i="1" s="1"/>
  <c r="AP64" i="1"/>
  <c r="AR64" i="1" s="1"/>
  <c r="AP215" i="1"/>
  <c r="AR215" i="1" s="1"/>
  <c r="AP315" i="1"/>
  <c r="AQ94" i="1"/>
  <c r="AQ136" i="1"/>
  <c r="AQ150" i="1"/>
  <c r="AQ332" i="1"/>
  <c r="AQ486" i="1"/>
  <c r="AQ64" i="1"/>
  <c r="AQ105" i="1"/>
  <c r="AQ273" i="1"/>
  <c r="AQ315" i="1"/>
  <c r="AP439" i="1"/>
  <c r="AP203" i="1"/>
  <c r="AR203" i="1" s="1"/>
  <c r="AQ520" i="1"/>
  <c r="AQ534" i="1"/>
  <c r="AQ590" i="1"/>
  <c r="AQ363" i="1"/>
  <c r="AP78" i="1"/>
  <c r="AR78" i="1" s="1"/>
  <c r="AP120" i="1"/>
  <c r="AP134" i="1"/>
  <c r="AR134" i="1" s="1"/>
  <c r="AP288" i="1"/>
  <c r="AR288" i="1" s="1"/>
  <c r="AP357" i="1"/>
  <c r="AP454" i="1"/>
  <c r="AQ97" i="1"/>
  <c r="AP273" i="1"/>
  <c r="AR273" i="1" s="1"/>
  <c r="AP329" i="1"/>
  <c r="AP398" i="1"/>
  <c r="AR398" i="1" s="1"/>
  <c r="AP413" i="1"/>
  <c r="AQ13" i="1"/>
  <c r="AQ505" i="1"/>
  <c r="AP175" i="1"/>
  <c r="AP496" i="1"/>
  <c r="U292" i="1"/>
  <c r="U250" i="1"/>
  <c r="AP91" i="1"/>
  <c r="AP160" i="1"/>
  <c r="AR160" i="1" s="1"/>
  <c r="AP384" i="1"/>
  <c r="AP399" i="1"/>
  <c r="AP482" i="1"/>
  <c r="AQ545" i="1"/>
  <c r="AP146" i="1"/>
  <c r="AP258" i="1"/>
  <c r="AR258" i="1" s="1"/>
  <c r="AP497" i="1"/>
  <c r="AP92" i="1"/>
  <c r="AR92" i="1" s="1"/>
  <c r="AP161" i="1"/>
  <c r="AR161" i="1" s="1"/>
  <c r="AP301" i="1"/>
  <c r="AR301" i="1" s="1"/>
  <c r="AP483" i="1"/>
  <c r="AR483" i="1" s="1"/>
  <c r="AQ548" i="1"/>
  <c r="AQ447" i="1"/>
  <c r="AP147" i="1"/>
  <c r="AR147" i="1" s="1"/>
  <c r="AP370" i="1"/>
  <c r="AP468" i="1"/>
  <c r="AP174" i="1"/>
  <c r="AP314" i="1"/>
  <c r="AP230" i="1"/>
  <c r="AR230" i="1" s="1"/>
  <c r="AP302" i="1"/>
  <c r="AR302" i="1" s="1"/>
  <c r="AP77" i="1"/>
  <c r="AP133" i="1"/>
  <c r="AP287" i="1"/>
  <c r="AP356" i="1"/>
  <c r="AP371" i="1"/>
  <c r="AP469" i="1"/>
  <c r="AQ22" i="1"/>
  <c r="AP62" i="1"/>
  <c r="AP76" i="1"/>
  <c r="AR76" i="1" s="1"/>
  <c r="AP187" i="1"/>
  <c r="AP214" i="1"/>
  <c r="AQ254" i="1"/>
  <c r="AP286" i="1"/>
  <c r="AP300" i="1"/>
  <c r="AQ450" i="1"/>
  <c r="AP540" i="1"/>
  <c r="AR540" i="1" s="1"/>
  <c r="AQ554" i="1"/>
  <c r="AQ582" i="1"/>
  <c r="AP596" i="1"/>
  <c r="AP555" i="1"/>
  <c r="AP583" i="1"/>
  <c r="AP597" i="1"/>
  <c r="U96" i="1"/>
  <c r="U82" i="1"/>
  <c r="U54" i="1"/>
  <c r="AP105" i="1"/>
  <c r="AP119" i="1"/>
  <c r="AR119" i="1" s="1"/>
  <c r="AP132" i="1"/>
  <c r="AQ226" i="1"/>
  <c r="AP271" i="1"/>
  <c r="AR271" i="1" s="1"/>
  <c r="AP467" i="1"/>
  <c r="AQ503" i="1"/>
  <c r="AP528" i="1"/>
  <c r="AP584" i="1"/>
  <c r="AQ596" i="1"/>
  <c r="AP610" i="1"/>
  <c r="AR610" i="1" s="1"/>
  <c r="AQ44" i="1"/>
  <c r="AQ72" i="1"/>
  <c r="AQ86" i="1"/>
  <c r="AQ114" i="1"/>
  <c r="AQ156" i="1"/>
  <c r="AQ170" i="1"/>
  <c r="AR170" i="1" s="1"/>
  <c r="AQ198" i="1"/>
  <c r="AQ240" i="1"/>
  <c r="AQ282" i="1"/>
  <c r="AQ310" i="1"/>
  <c r="AQ352" i="1"/>
  <c r="AQ394" i="1"/>
  <c r="AQ464" i="1"/>
  <c r="AQ478" i="1"/>
  <c r="AP10" i="1"/>
  <c r="AP38" i="1"/>
  <c r="AP66" i="1"/>
  <c r="AP150" i="1"/>
  <c r="AP178" i="1"/>
  <c r="AP234" i="1"/>
  <c r="AP248" i="1"/>
  <c r="AP262" i="1"/>
  <c r="AP276" i="1"/>
  <c r="AP290" i="1"/>
  <c r="AP318" i="1"/>
  <c r="AP346" i="1"/>
  <c r="AP374" i="1"/>
  <c r="AP388" i="1"/>
  <c r="AP402" i="1"/>
  <c r="AP430" i="1"/>
  <c r="AP458" i="1"/>
  <c r="AP472" i="1"/>
  <c r="AP486" i="1"/>
  <c r="AP514" i="1"/>
  <c r="AP542" i="1"/>
  <c r="AP556" i="1"/>
  <c r="AP570" i="1"/>
  <c r="AP598" i="1"/>
  <c r="AQ30" i="1"/>
  <c r="AP71" i="1"/>
  <c r="AQ134" i="1"/>
  <c r="AQ175" i="1"/>
  <c r="AP190" i="1"/>
  <c r="AR190" i="1" s="1"/>
  <c r="AP217" i="1"/>
  <c r="AP343" i="1"/>
  <c r="AQ371" i="1"/>
  <c r="AP414" i="1"/>
  <c r="AR414" i="1" s="1"/>
  <c r="AP427" i="1"/>
  <c r="AQ469" i="1"/>
  <c r="AP523" i="1"/>
  <c r="AQ604" i="1"/>
  <c r="AQ125" i="1"/>
  <c r="AQ209" i="1"/>
  <c r="AR209" i="1" s="1"/>
  <c r="AQ293" i="1"/>
  <c r="AR293" i="1" s="1"/>
  <c r="AP15" i="1"/>
  <c r="AP85" i="1"/>
  <c r="AP99" i="1"/>
  <c r="AP127" i="1"/>
  <c r="AP141" i="1"/>
  <c r="AP155" i="1"/>
  <c r="AP169" i="1"/>
  <c r="AP183" i="1"/>
  <c r="AR183" i="1" s="1"/>
  <c r="AP211" i="1"/>
  <c r="AP225" i="1"/>
  <c r="AP239" i="1"/>
  <c r="AP253" i="1"/>
  <c r="AP267" i="1"/>
  <c r="AP281" i="1"/>
  <c r="AR281" i="1" s="1"/>
  <c r="AP295" i="1"/>
  <c r="AP323" i="1"/>
  <c r="AP337" i="1"/>
  <c r="AP351" i="1"/>
  <c r="AP365" i="1"/>
  <c r="AP379" i="1"/>
  <c r="AR379" i="1" s="1"/>
  <c r="AP393" i="1"/>
  <c r="AR393" i="1" s="1"/>
  <c r="AP421" i="1"/>
  <c r="AR421" i="1" s="1"/>
  <c r="AP449" i="1"/>
  <c r="AP463" i="1"/>
  <c r="AP505" i="1"/>
  <c r="AP519" i="1"/>
  <c r="AP533" i="1"/>
  <c r="AP547" i="1"/>
  <c r="AP561" i="1"/>
  <c r="AP575" i="1"/>
  <c r="AP603" i="1"/>
  <c r="AQ4" i="1"/>
  <c r="AQ18" i="1"/>
  <c r="AQ46" i="1"/>
  <c r="AQ60" i="1"/>
  <c r="AQ88" i="1"/>
  <c r="AQ102" i="1"/>
  <c r="AQ130" i="1"/>
  <c r="AQ172" i="1"/>
  <c r="AQ480" i="1"/>
  <c r="AQ522" i="1"/>
  <c r="AQ550" i="1"/>
  <c r="AQ578" i="1"/>
  <c r="AQ592" i="1"/>
  <c r="AP4" i="1"/>
  <c r="AP57" i="1"/>
  <c r="AP80" i="1"/>
  <c r="AQ100" i="1"/>
  <c r="AP148" i="1"/>
  <c r="AR148" i="1" s="1"/>
  <c r="AP162" i="1"/>
  <c r="AR162" i="1" s="1"/>
  <c r="AP176" i="1"/>
  <c r="AQ217" i="1"/>
  <c r="AP231" i="1"/>
  <c r="AP259" i="1"/>
  <c r="AP296" i="1"/>
  <c r="AP304" i="1"/>
  <c r="AR304" i="1" s="1"/>
  <c r="AQ330" i="1"/>
  <c r="AQ358" i="1"/>
  <c r="AP400" i="1"/>
  <c r="AQ414" i="1"/>
  <c r="AP565" i="1"/>
  <c r="AP579" i="1"/>
  <c r="AP30" i="1"/>
  <c r="AP58" i="1"/>
  <c r="AP142" i="1"/>
  <c r="AP170" i="1"/>
  <c r="AP184" i="1"/>
  <c r="AP226" i="1"/>
  <c r="AP240" i="1"/>
  <c r="AP254" i="1"/>
  <c r="AP268" i="1"/>
  <c r="AP282" i="1"/>
  <c r="AP310" i="1"/>
  <c r="AP338" i="1"/>
  <c r="AP352" i="1"/>
  <c r="AP366" i="1"/>
  <c r="AP380" i="1"/>
  <c r="AR380" i="1" s="1"/>
  <c r="AP394" i="1"/>
  <c r="AR394" i="1" s="1"/>
  <c r="AP422" i="1"/>
  <c r="AP450" i="1"/>
  <c r="AP464" i="1"/>
  <c r="AP478" i="1"/>
  <c r="AP506" i="1"/>
  <c r="AP520" i="1"/>
  <c r="AR520" i="1" s="1"/>
  <c r="AP534" i="1"/>
  <c r="AP548" i="1"/>
  <c r="AP562" i="1"/>
  <c r="AR562" i="1" s="1"/>
  <c r="AP590" i="1"/>
  <c r="AP604" i="1"/>
  <c r="AP72" i="1"/>
  <c r="AR72" i="1" s="1"/>
  <c r="AP113" i="1"/>
  <c r="AR113" i="1" s="1"/>
  <c r="AP128" i="1"/>
  <c r="AR128" i="1" s="1"/>
  <c r="AP136" i="1"/>
  <c r="AP218" i="1"/>
  <c r="AQ259" i="1"/>
  <c r="AQ296" i="1"/>
  <c r="AP344" i="1"/>
  <c r="AP359" i="1"/>
  <c r="AQ372" i="1"/>
  <c r="AQ400" i="1"/>
  <c r="AQ442" i="1"/>
  <c r="AP524" i="1"/>
  <c r="AR524" i="1" s="1"/>
  <c r="AP537" i="1"/>
  <c r="AP593" i="1"/>
  <c r="AR593" i="1" s="1"/>
  <c r="AQ52" i="1"/>
  <c r="AQ93" i="1"/>
  <c r="AQ233" i="1"/>
  <c r="AQ387" i="1"/>
  <c r="AQ527" i="1"/>
  <c r="AQ583" i="1"/>
  <c r="AP31" i="1"/>
  <c r="AR31" i="1" s="1"/>
  <c r="AP59" i="1"/>
  <c r="AR59" i="1" s="1"/>
  <c r="AP87" i="1"/>
  <c r="AR87" i="1" s="1"/>
  <c r="AP115" i="1"/>
  <c r="AR115" i="1" s="1"/>
  <c r="AP143" i="1"/>
  <c r="AR143" i="1" s="1"/>
  <c r="AP325" i="1"/>
  <c r="AR325" i="1" s="1"/>
  <c r="AQ58" i="1"/>
  <c r="AP73" i="1"/>
  <c r="AR73" i="1" s="1"/>
  <c r="AP102" i="1"/>
  <c r="AQ128" i="1"/>
  <c r="AP164" i="1"/>
  <c r="AR164" i="1" s="1"/>
  <c r="AQ218" i="1"/>
  <c r="AP232" i="1"/>
  <c r="AR232" i="1" s="1"/>
  <c r="AP260" i="1"/>
  <c r="AP332" i="1"/>
  <c r="AR332" i="1" s="1"/>
  <c r="AP360" i="1"/>
  <c r="AP407" i="1"/>
  <c r="AP416" i="1"/>
  <c r="AP456" i="1"/>
  <c r="AP510" i="1"/>
  <c r="AP552" i="1"/>
  <c r="AP566" i="1"/>
  <c r="AR566" i="1" s="1"/>
  <c r="AP580" i="1"/>
  <c r="AR580" i="1" s="1"/>
  <c r="AQ321" i="1"/>
  <c r="AR321" i="1" s="1"/>
  <c r="AQ38" i="1"/>
  <c r="AQ189" i="1"/>
  <c r="AQ385" i="1"/>
  <c r="AP34" i="1"/>
  <c r="AP47" i="1"/>
  <c r="AQ184" i="1"/>
  <c r="AR184" i="1" s="1"/>
  <c r="AP247" i="1"/>
  <c r="AQ260" i="1"/>
  <c r="AQ380" i="1"/>
  <c r="AP444" i="1"/>
  <c r="AQ456" i="1"/>
  <c r="AR456" i="1" s="1"/>
  <c r="AP492" i="1"/>
  <c r="AP500" i="1"/>
  <c r="AP525" i="1"/>
  <c r="AP538" i="1"/>
  <c r="AP5" i="1"/>
  <c r="AP201" i="1"/>
  <c r="AP313" i="1"/>
  <c r="AP481" i="1"/>
  <c r="AR481" i="1" s="1"/>
  <c r="AP607" i="1"/>
  <c r="AR607" i="1" s="1"/>
  <c r="AP103" i="1"/>
  <c r="AP156" i="1"/>
  <c r="AP197" i="1"/>
  <c r="AP309" i="1"/>
  <c r="AP324" i="1"/>
  <c r="AP408" i="1"/>
  <c r="AQ492" i="1"/>
  <c r="AP511" i="1"/>
  <c r="AR511" i="1" s="1"/>
  <c r="AQ525" i="1"/>
  <c r="AP553" i="1"/>
  <c r="AP567" i="1"/>
  <c r="AR567" i="1" s="1"/>
  <c r="AP608" i="1"/>
  <c r="AP48" i="1"/>
  <c r="AR48" i="1" s="1"/>
  <c r="AP244" i="1"/>
  <c r="AP272" i="1"/>
  <c r="AP328" i="1"/>
  <c r="AP412" i="1"/>
  <c r="AP440" i="1"/>
  <c r="AR440" i="1" s="1"/>
  <c r="AP35" i="1"/>
  <c r="AR35" i="1" s="1"/>
  <c r="AP75" i="1"/>
  <c r="AQ168" i="1"/>
  <c r="AQ212" i="1"/>
  <c r="AQ237" i="1"/>
  <c r="AR237" i="1" s="1"/>
  <c r="AQ268" i="1"/>
  <c r="AQ324" i="1"/>
  <c r="AQ408" i="1"/>
  <c r="AP436" i="1"/>
  <c r="AP477" i="1"/>
  <c r="AP493" i="1"/>
  <c r="AR493" i="1" s="1"/>
  <c r="AP526" i="1"/>
  <c r="AP539" i="1"/>
  <c r="AR539" i="1" s="1"/>
  <c r="AQ553" i="1"/>
  <c r="AP595" i="1"/>
  <c r="AQ27" i="1"/>
  <c r="AR27" i="1" s="1"/>
  <c r="AQ55" i="1"/>
  <c r="AQ69" i="1"/>
  <c r="AQ111" i="1"/>
  <c r="AQ139" i="1"/>
  <c r="AQ153" i="1"/>
  <c r="AR153" i="1" s="1"/>
  <c r="AQ167" i="1"/>
  <c r="AQ195" i="1"/>
  <c r="AR195" i="1" s="1"/>
  <c r="AQ223" i="1"/>
  <c r="AQ251" i="1"/>
  <c r="AR251" i="1" s="1"/>
  <c r="AQ265" i="1"/>
  <c r="AQ307" i="1"/>
  <c r="AQ335" i="1"/>
  <c r="AQ349" i="1"/>
  <c r="AQ405" i="1"/>
  <c r="AR405" i="1" s="1"/>
  <c r="AQ419" i="1"/>
  <c r="AR419" i="1" s="1"/>
  <c r="AQ433" i="1"/>
  <c r="AQ461" i="1"/>
  <c r="AQ489" i="1"/>
  <c r="AQ531" i="1"/>
  <c r="AQ559" i="1"/>
  <c r="AQ587" i="1"/>
  <c r="AQ601" i="1"/>
  <c r="AQ178" i="1"/>
  <c r="AQ290" i="1"/>
  <c r="AQ374" i="1"/>
  <c r="AQ458" i="1"/>
  <c r="AP22" i="1"/>
  <c r="AR22" i="1" s="1"/>
  <c r="AP131" i="1"/>
  <c r="AQ142" i="1"/>
  <c r="AQ338" i="1"/>
  <c r="AQ366" i="1"/>
  <c r="AQ422" i="1"/>
  <c r="AQ436" i="1"/>
  <c r="AP512" i="1"/>
  <c r="AR512" i="1" s="1"/>
  <c r="AQ526" i="1"/>
  <c r="AP554" i="1"/>
  <c r="AP568" i="1"/>
  <c r="AR568" i="1" s="1"/>
  <c r="AP582" i="1"/>
  <c r="AQ595" i="1"/>
  <c r="AP609" i="1"/>
  <c r="AQ517" i="1"/>
  <c r="AQ14" i="1"/>
  <c r="AQ126" i="1"/>
  <c r="AQ224" i="1"/>
  <c r="AQ266" i="1"/>
  <c r="AQ322" i="1"/>
  <c r="AQ364" i="1"/>
  <c r="AQ420" i="1"/>
  <c r="AQ462" i="1"/>
  <c r="AQ518" i="1"/>
  <c r="AP33" i="1"/>
  <c r="AP61" i="1"/>
  <c r="AP145" i="1"/>
  <c r="AP173" i="1"/>
  <c r="AP229" i="1"/>
  <c r="AR229" i="1" s="1"/>
  <c r="AP243" i="1"/>
  <c r="AP257" i="1"/>
  <c r="AP285" i="1"/>
  <c r="AP327" i="1"/>
  <c r="AP341" i="1"/>
  <c r="AP355" i="1"/>
  <c r="AP383" i="1"/>
  <c r="AR383" i="1" s="1"/>
  <c r="AP397" i="1"/>
  <c r="AR397" i="1" s="1"/>
  <c r="AP411" i="1"/>
  <c r="AR411" i="1" s="1"/>
  <c r="AP495" i="1"/>
  <c r="AR495" i="1" s="1"/>
  <c r="AP509" i="1"/>
  <c r="AR509" i="1" s="1"/>
  <c r="AP11" i="1"/>
  <c r="AP25" i="1"/>
  <c r="AP39" i="1"/>
  <c r="AP53" i="1"/>
  <c r="AP81" i="1"/>
  <c r="AP95" i="1"/>
  <c r="AP123" i="1"/>
  <c r="AP137" i="1"/>
  <c r="AP151" i="1"/>
  <c r="AP165" i="1"/>
  <c r="AP179" i="1"/>
  <c r="AP207" i="1"/>
  <c r="AP235" i="1"/>
  <c r="AP249" i="1"/>
  <c r="AP263" i="1"/>
  <c r="AP277" i="1"/>
  <c r="AP305" i="1"/>
  <c r="AP347" i="1"/>
  <c r="AP375" i="1"/>
  <c r="AP389" i="1"/>
  <c r="AP403" i="1"/>
  <c r="AP431" i="1"/>
  <c r="AP459" i="1"/>
  <c r="AP473" i="1"/>
  <c r="AP487" i="1"/>
  <c r="AP515" i="1"/>
  <c r="AP529" i="1"/>
  <c r="AP543" i="1"/>
  <c r="AP557" i="1"/>
  <c r="AP571" i="1"/>
  <c r="AP585" i="1"/>
  <c r="AP599" i="1"/>
  <c r="AP446" i="1"/>
  <c r="AP460" i="1"/>
  <c r="AP474" i="1"/>
  <c r="AP488" i="1"/>
  <c r="AP516" i="1"/>
  <c r="AP530" i="1"/>
  <c r="AP544" i="1"/>
  <c r="AP558" i="1"/>
  <c r="AP572" i="1"/>
  <c r="AP586" i="1"/>
  <c r="AP600" i="1"/>
  <c r="AR484" i="1"/>
  <c r="AQ91" i="1"/>
  <c r="AQ287" i="1"/>
  <c r="AQ581" i="1"/>
  <c r="AQ10" i="1"/>
  <c r="AQ66" i="1"/>
  <c r="AQ80" i="1"/>
  <c r="AQ108" i="1"/>
  <c r="AQ122" i="1"/>
  <c r="AQ164" i="1"/>
  <c r="AQ192" i="1"/>
  <c r="AQ206" i="1"/>
  <c r="AQ220" i="1"/>
  <c r="AQ234" i="1"/>
  <c r="AQ248" i="1"/>
  <c r="AQ262" i="1"/>
  <c r="AQ276" i="1"/>
  <c r="AQ304" i="1"/>
  <c r="AQ318" i="1"/>
  <c r="AQ346" i="1"/>
  <c r="AQ360" i="1"/>
  <c r="AQ388" i="1"/>
  <c r="AQ402" i="1"/>
  <c r="AQ416" i="1"/>
  <c r="AQ430" i="1"/>
  <c r="AQ472" i="1"/>
  <c r="AQ500" i="1"/>
  <c r="AQ514" i="1"/>
  <c r="AQ528" i="1"/>
  <c r="AQ542" i="1"/>
  <c r="AQ570" i="1"/>
  <c r="AQ584" i="1"/>
  <c r="AQ598" i="1"/>
  <c r="AQ28" i="1"/>
  <c r="AQ42" i="1"/>
  <c r="AQ84" i="1"/>
  <c r="AQ98" i="1"/>
  <c r="AQ112" i="1"/>
  <c r="AQ140" i="1"/>
  <c r="AQ154" i="1"/>
  <c r="AQ182" i="1"/>
  <c r="AQ196" i="1"/>
  <c r="AQ210" i="1"/>
  <c r="AQ238" i="1"/>
  <c r="AQ252" i="1"/>
  <c r="AQ280" i="1"/>
  <c r="AQ294" i="1"/>
  <c r="AQ308" i="1"/>
  <c r="AQ336" i="1"/>
  <c r="AQ350" i="1"/>
  <c r="AQ378" i="1"/>
  <c r="AQ392" i="1"/>
  <c r="AQ406" i="1"/>
  <c r="AQ434" i="1"/>
  <c r="AQ448" i="1"/>
  <c r="AQ476" i="1"/>
  <c r="AQ490" i="1"/>
  <c r="AQ504" i="1"/>
  <c r="AQ532" i="1"/>
  <c r="AQ546" i="1"/>
  <c r="AQ560" i="1"/>
  <c r="AR560" i="1" s="1"/>
  <c r="AQ574" i="1"/>
  <c r="AQ588" i="1"/>
  <c r="AQ602" i="1"/>
  <c r="AQ15" i="1"/>
  <c r="AR15" i="1" s="1"/>
  <c r="AQ43" i="1"/>
  <c r="AQ57" i="1"/>
  <c r="AR57" i="1" s="1"/>
  <c r="AQ99" i="1"/>
  <c r="AQ127" i="1"/>
  <c r="AQ141" i="1"/>
  <c r="AQ169" i="1"/>
  <c r="AQ211" i="1"/>
  <c r="AQ239" i="1"/>
  <c r="AQ253" i="1"/>
  <c r="AQ295" i="1"/>
  <c r="AQ323" i="1"/>
  <c r="AQ337" i="1"/>
  <c r="AQ365" i="1"/>
  <c r="AQ407" i="1"/>
  <c r="AR407" i="1" s="1"/>
  <c r="AQ449" i="1"/>
  <c r="AQ477" i="1"/>
  <c r="AQ519" i="1"/>
  <c r="AQ547" i="1"/>
  <c r="AQ561" i="1"/>
  <c r="AQ589" i="1"/>
  <c r="AR589" i="1" s="1"/>
  <c r="AQ32" i="1"/>
  <c r="AQ74" i="1"/>
  <c r="AQ116" i="1"/>
  <c r="AQ144" i="1"/>
  <c r="AQ158" i="1"/>
  <c r="AQ466" i="1"/>
  <c r="AQ494" i="1"/>
  <c r="AQ508" i="1"/>
  <c r="AQ536" i="1"/>
  <c r="AR536" i="1" s="1"/>
  <c r="AQ564" i="1"/>
  <c r="AQ606" i="1"/>
  <c r="AQ49" i="1"/>
  <c r="AR117" i="1"/>
  <c r="AR369" i="1"/>
  <c r="AQ56" i="1"/>
  <c r="AQ70" i="1"/>
  <c r="AR455" i="1"/>
  <c r="AQ71" i="1"/>
  <c r="AQ85" i="1"/>
  <c r="AR412" i="1"/>
  <c r="AQ12" i="1"/>
  <c r="AQ26" i="1"/>
  <c r="AR26" i="1" s="1"/>
  <c r="AQ40" i="1"/>
  <c r="AQ54" i="1"/>
  <c r="AQ68" i="1"/>
  <c r="AQ82" i="1"/>
  <c r="AQ96" i="1"/>
  <c r="AQ110" i="1"/>
  <c r="AQ124" i="1"/>
  <c r="AQ138" i="1"/>
  <c r="AR138" i="1" s="1"/>
  <c r="AQ152" i="1"/>
  <c r="AQ166" i="1"/>
  <c r="AR166" i="1" s="1"/>
  <c r="AQ180" i="1"/>
  <c r="AQ194" i="1"/>
  <c r="AQ208" i="1"/>
  <c r="AQ222" i="1"/>
  <c r="AQ236" i="1"/>
  <c r="AQ250" i="1"/>
  <c r="AQ264" i="1"/>
  <c r="AQ278" i="1"/>
  <c r="AQ292" i="1"/>
  <c r="AQ306" i="1"/>
  <c r="AQ320" i="1"/>
  <c r="AQ334" i="1"/>
  <c r="AQ348" i="1"/>
  <c r="AQ362" i="1"/>
  <c r="AQ376" i="1"/>
  <c r="AQ390" i="1"/>
  <c r="AQ404" i="1"/>
  <c r="AQ418" i="1"/>
  <c r="AQ432" i="1"/>
  <c r="AQ446" i="1"/>
  <c r="AQ460" i="1"/>
  <c r="AQ474" i="1"/>
  <c r="AQ488" i="1"/>
  <c r="AR488" i="1" s="1"/>
  <c r="AQ502" i="1"/>
  <c r="AQ516" i="1"/>
  <c r="AQ530" i="1"/>
  <c r="AQ544" i="1"/>
  <c r="AQ558" i="1"/>
  <c r="AQ572" i="1"/>
  <c r="AQ586" i="1"/>
  <c r="AQ600" i="1"/>
  <c r="AQ186" i="1"/>
  <c r="AQ200" i="1"/>
  <c r="AQ214" i="1"/>
  <c r="AQ228" i="1"/>
  <c r="AQ242" i="1"/>
  <c r="AQ256" i="1"/>
  <c r="AQ270" i="1"/>
  <c r="AQ284" i="1"/>
  <c r="AQ298" i="1"/>
  <c r="AQ312" i="1"/>
  <c r="AQ326" i="1"/>
  <c r="AQ340" i="1"/>
  <c r="AQ354" i="1"/>
  <c r="AQ368" i="1"/>
  <c r="AQ382" i="1"/>
  <c r="AQ396" i="1"/>
  <c r="AQ410" i="1"/>
  <c r="AQ424" i="1"/>
  <c r="AQ438" i="1"/>
  <c r="AQ452" i="1"/>
  <c r="AP9" i="1"/>
  <c r="AP65" i="1"/>
  <c r="AP135" i="1"/>
  <c r="AP541" i="1"/>
  <c r="AR50" i="1"/>
  <c r="AP51" i="1"/>
  <c r="AP163" i="1"/>
  <c r="AP303" i="1"/>
  <c r="AP121" i="1"/>
  <c r="AP499" i="1"/>
  <c r="AP23" i="1"/>
  <c r="AP37" i="1"/>
  <c r="AP79" i="1"/>
  <c r="AP93" i="1"/>
  <c r="AP107" i="1"/>
  <c r="AP149" i="1"/>
  <c r="AP177" i="1"/>
  <c r="AP191" i="1"/>
  <c r="AP205" i="1"/>
  <c r="AP219" i="1"/>
  <c r="AP233" i="1"/>
  <c r="AP261" i="1"/>
  <c r="AP275" i="1"/>
  <c r="AP289" i="1"/>
  <c r="AP317" i="1"/>
  <c r="AP331" i="1"/>
  <c r="AP345" i="1"/>
  <c r="AP373" i="1"/>
  <c r="AP387" i="1"/>
  <c r="AR387" i="1" s="1"/>
  <c r="AP401" i="1"/>
  <c r="AP415" i="1"/>
  <c r="AP429" i="1"/>
  <c r="AP443" i="1"/>
  <c r="AP457" i="1"/>
  <c r="AP471" i="1"/>
  <c r="AP485" i="1"/>
  <c r="AP513" i="1"/>
  <c r="AP527" i="1"/>
  <c r="AP569" i="1"/>
  <c r="AR13" i="1"/>
  <c r="AR106" i="1"/>
  <c r="AP24" i="1"/>
  <c r="AR24" i="1" s="1"/>
  <c r="AP52" i="1"/>
  <c r="AP94" i="1"/>
  <c r="AP108" i="1"/>
  <c r="AP122" i="1"/>
  <c r="AP192" i="1"/>
  <c r="AR192" i="1" s="1"/>
  <c r="AP206" i="1"/>
  <c r="AP220" i="1"/>
  <c r="AP12" i="1"/>
  <c r="AP40" i="1"/>
  <c r="AP54" i="1"/>
  <c r="AP68" i="1"/>
  <c r="AP110" i="1"/>
  <c r="AR110" i="1" s="1"/>
  <c r="AP152" i="1"/>
  <c r="AP180" i="1"/>
  <c r="AP194" i="1"/>
  <c r="AP222" i="1"/>
  <c r="AR222" i="1" s="1"/>
  <c r="AP236" i="1"/>
  <c r="AP264" i="1"/>
  <c r="AP278" i="1"/>
  <c r="AP292" i="1"/>
  <c r="AP306" i="1"/>
  <c r="AP320" i="1"/>
  <c r="AP334" i="1"/>
  <c r="AP348" i="1"/>
  <c r="AP362" i="1"/>
  <c r="AP376" i="1"/>
  <c r="AP404" i="1"/>
  <c r="AP432" i="1"/>
  <c r="AP41" i="1"/>
  <c r="AP377" i="1"/>
  <c r="AP433" i="1"/>
  <c r="AP461" i="1"/>
  <c r="AP475" i="1"/>
  <c r="AP531" i="1"/>
  <c r="AR531" i="1" s="1"/>
  <c r="AP545" i="1"/>
  <c r="AP559" i="1"/>
  <c r="AR559" i="1" s="1"/>
  <c r="AP573" i="1"/>
  <c r="AP601" i="1"/>
  <c r="AR575" i="1"/>
  <c r="AQ9" i="1"/>
  <c r="AQ23" i="1"/>
  <c r="AQ37" i="1"/>
  <c r="AQ51" i="1"/>
  <c r="AQ65" i="1"/>
  <c r="AQ79" i="1"/>
  <c r="AQ107" i="1"/>
  <c r="AQ121" i="1"/>
  <c r="AR121" i="1" s="1"/>
  <c r="AQ135" i="1"/>
  <c r="AQ149" i="1"/>
  <c r="AQ163" i="1"/>
  <c r="AQ177" i="1"/>
  <c r="AQ191" i="1"/>
  <c r="AQ205" i="1"/>
  <c r="AQ219" i="1"/>
  <c r="AR219" i="1" s="1"/>
  <c r="AQ247" i="1"/>
  <c r="AR247" i="1" s="1"/>
  <c r="AQ261" i="1"/>
  <c r="AQ275" i="1"/>
  <c r="AQ289" i="1"/>
  <c r="AQ303" i="1"/>
  <c r="AQ317" i="1"/>
  <c r="AQ331" i="1"/>
  <c r="AQ345" i="1"/>
  <c r="AQ359" i="1"/>
  <c r="AQ373" i="1"/>
  <c r="AQ401" i="1"/>
  <c r="AQ415" i="1"/>
  <c r="AQ429" i="1"/>
  <c r="AQ443" i="1"/>
  <c r="AQ457" i="1"/>
  <c r="AQ471" i="1"/>
  <c r="AQ485" i="1"/>
  <c r="AQ499" i="1"/>
  <c r="AQ513" i="1"/>
  <c r="AQ541" i="1"/>
  <c r="AQ555" i="1"/>
  <c r="AQ569" i="1"/>
  <c r="AQ597" i="1"/>
  <c r="AP16" i="1"/>
  <c r="AR16" i="1" s="1"/>
  <c r="AP86" i="1"/>
  <c r="AP100" i="1"/>
  <c r="AP114" i="1"/>
  <c r="AP198" i="1"/>
  <c r="AP212" i="1"/>
  <c r="AP17" i="1"/>
  <c r="AR17" i="1" s="1"/>
  <c r="AP45" i="1"/>
  <c r="AR45" i="1" s="1"/>
  <c r="AP101" i="1"/>
  <c r="AR101" i="1" s="1"/>
  <c r="AP129" i="1"/>
  <c r="AR129" i="1" s="1"/>
  <c r="AP157" i="1"/>
  <c r="AR157" i="1" s="1"/>
  <c r="AP171" i="1"/>
  <c r="AR171" i="1" s="1"/>
  <c r="AP185" i="1"/>
  <c r="AR185" i="1" s="1"/>
  <c r="AP199" i="1"/>
  <c r="AR199" i="1" s="1"/>
  <c r="AP213" i="1"/>
  <c r="AR213" i="1" s="1"/>
  <c r="AP227" i="1"/>
  <c r="AR227" i="1" s="1"/>
  <c r="AP241" i="1"/>
  <c r="AR241" i="1" s="1"/>
  <c r="AP255" i="1"/>
  <c r="AR255" i="1" s="1"/>
  <c r="AP269" i="1"/>
  <c r="AR269" i="1" s="1"/>
  <c r="AP283" i="1"/>
  <c r="AR283" i="1" s="1"/>
  <c r="AP297" i="1"/>
  <c r="AR297" i="1" s="1"/>
  <c r="AP311" i="1"/>
  <c r="AR311" i="1" s="1"/>
  <c r="AP339" i="1"/>
  <c r="AR339" i="1" s="1"/>
  <c r="AP353" i="1"/>
  <c r="AR353" i="1" s="1"/>
  <c r="AP367" i="1"/>
  <c r="AR367" i="1" s="1"/>
  <c r="AP381" i="1"/>
  <c r="AR381" i="1" s="1"/>
  <c r="AP395" i="1"/>
  <c r="AR395" i="1" s="1"/>
  <c r="AP409" i="1"/>
  <c r="AR409" i="1" s="1"/>
  <c r="AP423" i="1"/>
  <c r="AR423" i="1" s="1"/>
  <c r="AP437" i="1"/>
  <c r="AR437" i="1" s="1"/>
  <c r="AP451" i="1"/>
  <c r="AR451" i="1" s="1"/>
  <c r="AP465" i="1"/>
  <c r="AR465" i="1" s="1"/>
  <c r="AP479" i="1"/>
  <c r="AR479" i="1" s="1"/>
  <c r="AP507" i="1"/>
  <c r="AR507" i="1" s="1"/>
  <c r="AP521" i="1"/>
  <c r="AR521" i="1" s="1"/>
  <c r="AP535" i="1"/>
  <c r="AR535" i="1" s="1"/>
  <c r="AP549" i="1"/>
  <c r="AR549" i="1" s="1"/>
  <c r="AP563" i="1"/>
  <c r="AR563" i="1" s="1"/>
  <c r="AP577" i="1"/>
  <c r="AR577" i="1" s="1"/>
  <c r="AP591" i="1"/>
  <c r="AR591" i="1" s="1"/>
  <c r="AP605" i="1"/>
  <c r="AR605" i="1" s="1"/>
  <c r="AP14" i="1"/>
  <c r="AP42" i="1"/>
  <c r="AP70" i="1"/>
  <c r="AP84" i="1"/>
  <c r="AP98" i="1"/>
  <c r="AP112" i="1"/>
  <c r="AR112" i="1" s="1"/>
  <c r="AP126" i="1"/>
  <c r="AP154" i="1"/>
  <c r="AP168" i="1"/>
  <c r="AP182" i="1"/>
  <c r="AP196" i="1"/>
  <c r="AP210" i="1"/>
  <c r="AP224" i="1"/>
  <c r="AP238" i="1"/>
  <c r="AP252" i="1"/>
  <c r="AP266" i="1"/>
  <c r="AP280" i="1"/>
  <c r="AP294" i="1"/>
  <c r="AP322" i="1"/>
  <c r="AP336" i="1"/>
  <c r="AP350" i="1"/>
  <c r="AP364" i="1"/>
  <c r="AP378" i="1"/>
  <c r="AP392" i="1"/>
  <c r="AP406" i="1"/>
  <c r="AP420" i="1"/>
  <c r="AP448" i="1"/>
  <c r="AP476" i="1"/>
  <c r="AP490" i="1"/>
  <c r="AP504" i="1"/>
  <c r="AP518" i="1"/>
  <c r="AP546" i="1"/>
  <c r="AP588" i="1"/>
  <c r="AQ11" i="1"/>
  <c r="AQ25" i="1"/>
  <c r="AQ39" i="1"/>
  <c r="AQ53" i="1"/>
  <c r="AQ67" i="1"/>
  <c r="AR67" i="1" s="1"/>
  <c r="AQ81" i="1"/>
  <c r="AQ95" i="1"/>
  <c r="AQ109" i="1"/>
  <c r="AR109" i="1" s="1"/>
  <c r="AQ123" i="1"/>
  <c r="AQ137" i="1"/>
  <c r="AR137" i="1" s="1"/>
  <c r="AQ151" i="1"/>
  <c r="AQ165" i="1"/>
  <c r="AR165" i="1" s="1"/>
  <c r="AQ179" i="1"/>
  <c r="AQ193" i="1"/>
  <c r="AR193" i="1" s="1"/>
  <c r="AQ207" i="1"/>
  <c r="AQ221" i="1"/>
  <c r="AR221" i="1" s="1"/>
  <c r="AQ235" i="1"/>
  <c r="AQ249" i="1"/>
  <c r="AQ263" i="1"/>
  <c r="AQ277" i="1"/>
  <c r="AQ291" i="1"/>
  <c r="AR291" i="1" s="1"/>
  <c r="AQ305" i="1"/>
  <c r="AQ319" i="1"/>
  <c r="AR319" i="1" s="1"/>
  <c r="AQ333" i="1"/>
  <c r="AR333" i="1" s="1"/>
  <c r="AQ347" i="1"/>
  <c r="AQ361" i="1"/>
  <c r="AR361" i="1" s="1"/>
  <c r="AQ375" i="1"/>
  <c r="AQ389" i="1"/>
  <c r="AQ403" i="1"/>
  <c r="AQ417" i="1"/>
  <c r="AR417" i="1" s="1"/>
  <c r="AQ431" i="1"/>
  <c r="AQ445" i="1"/>
  <c r="AR445" i="1" s="1"/>
  <c r="AQ459" i="1"/>
  <c r="AQ473" i="1"/>
  <c r="AQ487" i="1"/>
  <c r="AQ501" i="1"/>
  <c r="AR501" i="1" s="1"/>
  <c r="AQ515" i="1"/>
  <c r="AQ529" i="1"/>
  <c r="AQ543" i="1"/>
  <c r="AQ557" i="1"/>
  <c r="AQ571" i="1"/>
  <c r="AQ585" i="1"/>
  <c r="AQ599" i="1"/>
  <c r="AP32" i="1"/>
  <c r="AP46" i="1"/>
  <c r="AP60" i="1"/>
  <c r="AP74" i="1"/>
  <c r="AP88" i="1"/>
  <c r="AP116" i="1"/>
  <c r="AP130" i="1"/>
  <c r="AP144" i="1"/>
  <c r="AP158" i="1"/>
  <c r="AP172" i="1"/>
  <c r="AP186" i="1"/>
  <c r="AP200" i="1"/>
  <c r="AP228" i="1"/>
  <c r="AP242" i="1"/>
  <c r="AP256" i="1"/>
  <c r="AP270" i="1"/>
  <c r="AP284" i="1"/>
  <c r="AP298" i="1"/>
  <c r="AP312" i="1"/>
  <c r="AP326" i="1"/>
  <c r="AP340" i="1"/>
  <c r="AP354" i="1"/>
  <c r="AP368" i="1"/>
  <c r="AP382" i="1"/>
  <c r="AP396" i="1"/>
  <c r="AP410" i="1"/>
  <c r="AP424" i="1"/>
  <c r="AP438" i="1"/>
  <c r="AP452" i="1"/>
  <c r="AP466" i="1"/>
  <c r="AP480" i="1"/>
  <c r="AP494" i="1"/>
  <c r="AP508" i="1"/>
  <c r="AP522" i="1"/>
  <c r="AP550" i="1"/>
  <c r="AP578" i="1"/>
  <c r="AP592" i="1"/>
  <c r="AP606" i="1"/>
  <c r="AQ41" i="1"/>
  <c r="AQ83" i="1"/>
  <c r="AQ181" i="1"/>
  <c r="AQ279" i="1"/>
  <c r="AR279" i="1" s="1"/>
  <c r="AQ377" i="1"/>
  <c r="AQ475" i="1"/>
  <c r="AQ573" i="1"/>
  <c r="AP6" i="1"/>
  <c r="AP20" i="1"/>
  <c r="AP90" i="1"/>
  <c r="AP104" i="1"/>
  <c r="AR104" i="1" s="1"/>
  <c r="AP118" i="1"/>
  <c r="AR118" i="1" s="1"/>
  <c r="AP202" i="1"/>
  <c r="AP216" i="1"/>
  <c r="AR216" i="1" s="1"/>
  <c r="AR3" i="1"/>
  <c r="AR231" i="1"/>
  <c r="AR49" i="1"/>
  <c r="AR329" i="1"/>
  <c r="AR18" i="1"/>
  <c r="AR146" i="1"/>
  <c r="AR244" i="1"/>
  <c r="AR603" i="1"/>
  <c r="AR327" i="1"/>
  <c r="AR384" i="1"/>
  <c r="AR44" i="1"/>
  <c r="AR576" i="1"/>
  <c r="AR444" i="1"/>
  <c r="AR556" i="1"/>
  <c r="AR570" i="1"/>
  <c r="U485" i="1"/>
  <c r="U471" i="1"/>
  <c r="U443" i="1"/>
  <c r="U401" i="1"/>
  <c r="U373" i="1"/>
  <c r="U359" i="1"/>
  <c r="U107" i="1"/>
  <c r="U37" i="1"/>
  <c r="U23" i="1"/>
  <c r="U526" i="1"/>
  <c r="U484" i="1"/>
  <c r="U456" i="1"/>
  <c r="U442" i="1"/>
  <c r="U428" i="1"/>
  <c r="U400" i="1"/>
  <c r="U386" i="1"/>
  <c r="U372" i="1"/>
  <c r="U232" i="1"/>
  <c r="U218" i="1"/>
  <c r="U204" i="1"/>
  <c r="U190" i="1"/>
  <c r="U176" i="1"/>
  <c r="U120" i="1"/>
  <c r="U106" i="1"/>
  <c r="U50" i="1"/>
  <c r="U8" i="1"/>
  <c r="U608" i="1"/>
  <c r="U594" i="1"/>
  <c r="U468" i="1"/>
  <c r="U370" i="1"/>
  <c r="U300" i="1"/>
  <c r="U286" i="1"/>
  <c r="U258" i="1"/>
  <c r="U69" i="1"/>
  <c r="U62" i="1"/>
  <c r="U48" i="1"/>
  <c r="U20" i="1"/>
  <c r="U13" i="1"/>
  <c r="U607" i="1"/>
  <c r="U593" i="1"/>
  <c r="U579" i="1"/>
  <c r="U523" i="1"/>
  <c r="U509" i="1"/>
  <c r="U495" i="1"/>
  <c r="U606" i="1"/>
  <c r="U425" i="1"/>
  <c r="U369" i="1"/>
  <c r="U327" i="1"/>
  <c r="U201" i="1"/>
  <c r="U145" i="1"/>
  <c r="U19" i="1"/>
  <c r="U453" i="1"/>
  <c r="U411" i="1"/>
  <c r="U383" i="1"/>
  <c r="U341" i="1"/>
  <c r="U313" i="1"/>
  <c r="U285" i="1"/>
  <c r="U243" i="1"/>
  <c r="U173" i="1"/>
  <c r="U159" i="1"/>
  <c r="U117" i="1"/>
  <c r="U103" i="1"/>
  <c r="U75" i="1"/>
  <c r="U61" i="1"/>
  <c r="U47" i="1"/>
  <c r="U33" i="1"/>
  <c r="U549" i="1"/>
  <c r="U521" i="1"/>
  <c r="U465" i="1"/>
  <c r="U451" i="1"/>
  <c r="U367" i="1"/>
  <c r="U227" i="1"/>
  <c r="U213" i="1"/>
  <c r="U171" i="1"/>
  <c r="U129" i="1"/>
  <c r="U604" i="1"/>
  <c r="U534" i="1"/>
  <c r="U450" i="1"/>
  <c r="U436" i="1"/>
  <c r="U408" i="1"/>
  <c r="U394" i="1"/>
  <c r="U296" i="1"/>
  <c r="U240" i="1"/>
  <c r="U610" i="1"/>
  <c r="U603" i="1"/>
  <c r="U575" i="1"/>
  <c r="U491" i="1"/>
  <c r="U435" i="1"/>
  <c r="U602" i="1"/>
  <c r="U489" i="1"/>
  <c r="U358" i="1"/>
  <c r="U572" i="1"/>
  <c r="U360" i="1"/>
  <c r="U310" i="1"/>
  <c r="U288" i="1"/>
  <c r="U254" i="1"/>
  <c r="U234" i="1"/>
  <c r="U115" i="1"/>
  <c r="U114" i="1"/>
  <c r="U524" i="1"/>
  <c r="U510" i="1"/>
  <c r="U86" i="1"/>
  <c r="U565" i="1"/>
  <c r="U551" i="1"/>
  <c r="U537" i="1"/>
  <c r="U59" i="1"/>
  <c r="U156" i="1"/>
  <c r="U72" i="1"/>
  <c r="U295" i="1"/>
  <c r="U239" i="1"/>
  <c r="U183" i="1"/>
  <c r="U141" i="1"/>
  <c r="U99" i="1"/>
  <c r="U308" i="1"/>
  <c r="U168" i="1"/>
  <c r="U154" i="1"/>
  <c r="U277" i="1"/>
  <c r="U235" i="1"/>
  <c r="U212" i="1"/>
  <c r="U100" i="1"/>
  <c r="U323" i="1"/>
  <c r="U281" i="1"/>
  <c r="U225" i="1"/>
  <c r="U127" i="1"/>
  <c r="U461" i="1"/>
  <c r="U363" i="1"/>
  <c r="U307" i="1"/>
  <c r="U265" i="1"/>
  <c r="U209" i="1"/>
  <c r="U195" i="1"/>
  <c r="U167" i="1"/>
  <c r="U73" i="1"/>
  <c r="U142" i="1"/>
  <c r="U128" i="1"/>
  <c r="U348" i="1"/>
  <c r="U542" i="1"/>
  <c r="U528" i="1"/>
  <c r="U514" i="1"/>
  <c r="U458" i="1"/>
  <c r="U430" i="1"/>
  <c r="U402" i="1"/>
  <c r="U388" i="1"/>
  <c r="U220" i="1"/>
  <c r="U192" i="1"/>
  <c r="U178" i="1"/>
  <c r="U164" i="1"/>
  <c r="U150" i="1"/>
  <c r="U136" i="1"/>
  <c r="U122" i="1"/>
  <c r="U198" i="1"/>
  <c r="U30" i="1"/>
  <c r="U597" i="1"/>
  <c r="U569" i="1"/>
  <c r="U555" i="1"/>
  <c r="U541" i="1"/>
  <c r="U527" i="1"/>
  <c r="U184" i="1"/>
  <c r="U44" i="1"/>
  <c r="U446" i="1"/>
  <c r="U582" i="1"/>
  <c r="U170" i="1"/>
  <c r="U16" i="1"/>
  <c r="U609" i="1"/>
  <c r="U595" i="1"/>
  <c r="U483" i="1"/>
  <c r="U469" i="1"/>
  <c r="U441" i="1"/>
  <c r="U427" i="1"/>
  <c r="U553" i="1"/>
  <c r="U525" i="1"/>
  <c r="U511" i="1"/>
  <c r="U385" i="1"/>
  <c r="U371" i="1"/>
  <c r="U315" i="1"/>
  <c r="U105" i="1"/>
  <c r="U552" i="1"/>
  <c r="U440" i="1"/>
  <c r="U426" i="1"/>
  <c r="U356" i="1"/>
  <c r="U342" i="1"/>
  <c r="U202" i="1"/>
  <c r="U188" i="1"/>
  <c r="U174" i="1"/>
  <c r="U160" i="1"/>
  <c r="U132" i="1"/>
  <c r="U481" i="1"/>
  <c r="U605" i="1"/>
  <c r="U507" i="1"/>
  <c r="U311" i="1"/>
  <c r="U269" i="1"/>
  <c r="U255" i="1"/>
  <c r="U17" i="1"/>
  <c r="U316" i="1"/>
  <c r="U58" i="1"/>
  <c r="U519" i="1"/>
  <c r="U477" i="1"/>
  <c r="U393" i="1"/>
  <c r="U379" i="1"/>
  <c r="U337" i="1"/>
  <c r="U95" i="1"/>
  <c r="U506" i="1"/>
  <c r="U492" i="1"/>
  <c r="U352" i="1"/>
  <c r="U338" i="1"/>
  <c r="U574" i="1"/>
  <c r="U518" i="1"/>
  <c r="U504" i="1"/>
  <c r="U406" i="1"/>
  <c r="U14" i="1"/>
  <c r="U445" i="1"/>
  <c r="U180" i="1"/>
  <c r="U598" i="1"/>
  <c r="U500" i="1"/>
  <c r="U472" i="1"/>
  <c r="U318" i="1"/>
  <c r="U304" i="1"/>
  <c r="U290" i="1"/>
  <c r="U276" i="1"/>
  <c r="U262" i="1"/>
  <c r="U248" i="1"/>
  <c r="U52" i="1"/>
  <c r="U38" i="1"/>
  <c r="U24" i="1"/>
  <c r="U10" i="1"/>
  <c r="U22" i="1"/>
  <c r="U111" i="1"/>
  <c r="U513" i="1"/>
  <c r="U345" i="1"/>
  <c r="U317" i="1"/>
  <c r="U303" i="1"/>
  <c r="U233" i="1"/>
  <c r="U219" i="1"/>
  <c r="U205" i="1"/>
  <c r="U191" i="1"/>
  <c r="U177" i="1"/>
  <c r="U163" i="1"/>
  <c r="U149" i="1"/>
  <c r="U135" i="1"/>
  <c r="U93" i="1"/>
  <c r="U79" i="1"/>
  <c r="U65" i="1"/>
  <c r="U470" i="1"/>
  <c r="U152" i="1"/>
  <c r="U568" i="1"/>
  <c r="U330" i="1"/>
  <c r="U274" i="1"/>
  <c r="U260" i="1"/>
  <c r="U92" i="1"/>
  <c r="U78" i="1"/>
  <c r="U423" i="1"/>
  <c r="U409" i="1"/>
  <c r="U353" i="1"/>
  <c r="U325" i="1"/>
  <c r="U157" i="1"/>
  <c r="U31" i="1"/>
  <c r="U3" i="1"/>
  <c r="U197" i="1"/>
  <c r="U43" i="1"/>
  <c r="U462" i="1"/>
  <c r="U280" i="1"/>
  <c r="U266" i="1"/>
  <c r="U210" i="1"/>
  <c r="U126" i="1"/>
  <c r="U70" i="1"/>
  <c r="U56" i="1"/>
  <c r="U42" i="1"/>
  <c r="U28" i="1"/>
  <c r="U587" i="1"/>
  <c r="U559" i="1"/>
  <c r="U545" i="1"/>
  <c r="U405" i="1"/>
  <c r="U533" i="1"/>
  <c r="U586" i="1"/>
  <c r="U390" i="1"/>
  <c r="U236" i="1"/>
  <c r="U412" i="1"/>
  <c r="U347" i="1"/>
  <c r="U39" i="1"/>
  <c r="U29" i="1"/>
  <c r="U554" i="1"/>
  <c r="U90" i="1"/>
  <c r="U584" i="1"/>
  <c r="U444" i="1"/>
  <c r="U416" i="1"/>
  <c r="U108" i="1"/>
  <c r="U94" i="1"/>
  <c r="U80" i="1"/>
  <c r="U583" i="1"/>
  <c r="U457" i="1"/>
  <c r="U429" i="1"/>
  <c r="U415" i="1"/>
  <c r="U275" i="1"/>
  <c r="U261" i="1"/>
  <c r="U247" i="1"/>
  <c r="U121" i="1"/>
  <c r="U397" i="1"/>
  <c r="U88" i="1"/>
  <c r="U540" i="1"/>
  <c r="U344" i="1"/>
  <c r="U302" i="1"/>
  <c r="U246" i="1"/>
  <c r="U134" i="1"/>
  <c r="U36" i="1"/>
  <c r="U301" i="1"/>
  <c r="U273" i="1"/>
  <c r="U119" i="1"/>
  <c r="U384" i="1"/>
  <c r="U328" i="1"/>
  <c r="U216" i="1"/>
  <c r="U146" i="1"/>
  <c r="U76" i="1"/>
  <c r="U355" i="1"/>
  <c r="U548" i="1"/>
  <c r="U299" i="1"/>
  <c r="U131" i="1"/>
  <c r="U5" i="1"/>
  <c r="U497" i="1"/>
  <c r="U187" i="1"/>
  <c r="U85" i="1"/>
  <c r="U599" i="1"/>
  <c r="U562" i="1"/>
  <c r="U539" i="1"/>
  <c r="U351" i="1"/>
  <c r="U155" i="1"/>
  <c r="U556" i="1"/>
  <c r="U374" i="1"/>
  <c r="U332" i="1"/>
  <c r="U206" i="1"/>
  <c r="U561" i="1"/>
  <c r="U538" i="1"/>
  <c r="U493" i="1"/>
  <c r="U437" i="1"/>
  <c r="U403" i="1"/>
  <c r="U339" i="1"/>
  <c r="U144" i="1"/>
  <c r="U577" i="1"/>
  <c r="U331" i="1"/>
  <c r="U51" i="1"/>
  <c r="U498" i="1"/>
  <c r="U414" i="1"/>
  <c r="U148" i="1"/>
  <c r="U413" i="1"/>
  <c r="U381" i="1"/>
  <c r="U229" i="1"/>
  <c r="U89" i="1"/>
  <c r="U567" i="1"/>
  <c r="U399" i="1"/>
  <c r="U133" i="1"/>
  <c r="U35" i="1"/>
  <c r="U581" i="1"/>
  <c r="U479" i="1"/>
  <c r="U185" i="1"/>
  <c r="U268" i="1"/>
  <c r="U289" i="1"/>
  <c r="U566" i="1"/>
  <c r="U398" i="1"/>
  <c r="U314" i="1"/>
  <c r="U272" i="1"/>
  <c r="U230" i="1"/>
  <c r="U580" i="1"/>
  <c r="U535" i="1"/>
  <c r="U512" i="1"/>
  <c r="U478" i="1"/>
  <c r="U271" i="1"/>
  <c r="U162" i="1"/>
  <c r="U87" i="1"/>
  <c r="U64" i="1"/>
  <c r="U387" i="1"/>
  <c r="U467" i="1"/>
  <c r="U257" i="1"/>
  <c r="U215" i="1"/>
  <c r="U455" i="1"/>
  <c r="U389" i="1"/>
  <c r="U161" i="1"/>
  <c r="U499" i="1"/>
  <c r="U9" i="1"/>
  <c r="U143" i="1"/>
  <c r="U15" i="1"/>
  <c r="U487" i="1"/>
  <c r="U454" i="1"/>
  <c r="U226" i="1"/>
  <c r="U193" i="1"/>
  <c r="U32" i="1"/>
  <c r="U589" i="1"/>
  <c r="U560" i="1"/>
  <c r="U476" i="1"/>
  <c r="U420" i="1"/>
  <c r="U378" i="1"/>
  <c r="U364" i="1"/>
  <c r="U322" i="1"/>
  <c r="U224" i="1"/>
  <c r="U182" i="1"/>
  <c r="U140" i="1"/>
  <c r="U112" i="1"/>
  <c r="U98" i="1"/>
  <c r="U84" i="1"/>
  <c r="U496" i="1"/>
  <c r="U319" i="1"/>
  <c r="U309" i="1"/>
  <c r="U520" i="1"/>
  <c r="U267" i="1"/>
  <c r="U601" i="1"/>
  <c r="U503" i="1"/>
  <c r="U447" i="1"/>
  <c r="U391" i="1"/>
  <c r="U349" i="1"/>
  <c r="U293" i="1"/>
  <c r="U251" i="1"/>
  <c r="U153" i="1"/>
  <c r="U55" i="1"/>
  <c r="U395" i="1"/>
  <c r="U179" i="1"/>
  <c r="U169" i="1"/>
  <c r="U71" i="1"/>
  <c r="U6" i="1"/>
  <c r="U590" i="1"/>
  <c r="U421" i="1"/>
  <c r="U600" i="1"/>
  <c r="U544" i="1"/>
  <c r="U530" i="1"/>
  <c r="U488" i="1"/>
  <c r="U474" i="1"/>
  <c r="U432" i="1"/>
  <c r="U376" i="1"/>
  <c r="U334" i="1"/>
  <c r="U278" i="1"/>
  <c r="U194" i="1"/>
  <c r="U138" i="1"/>
  <c r="U40" i="1"/>
  <c r="U596" i="1"/>
  <c r="U563" i="1"/>
  <c r="U439" i="1"/>
  <c r="U361" i="1"/>
  <c r="U531" i="1"/>
  <c r="U26" i="1"/>
  <c r="U464" i="1"/>
  <c r="U422" i="1"/>
  <c r="U380" i="1"/>
  <c r="U279" i="1"/>
  <c r="U237" i="1"/>
  <c r="U74" i="1"/>
  <c r="U25" i="1"/>
  <c r="U573" i="1"/>
  <c r="U238" i="1"/>
  <c r="U196" i="1"/>
  <c r="U139" i="1"/>
  <c r="U564" i="1"/>
  <c r="U547" i="1"/>
  <c r="U522" i="1"/>
  <c r="U505" i="1"/>
  <c r="U463" i="1"/>
  <c r="U321" i="1"/>
  <c r="U312" i="1"/>
  <c r="U130" i="1"/>
  <c r="U81" i="1"/>
  <c r="U57" i="1"/>
  <c r="U41" i="1"/>
  <c r="U588" i="1"/>
  <c r="U571" i="1"/>
  <c r="U546" i="1"/>
  <c r="U529" i="1"/>
  <c r="U480" i="1"/>
  <c r="U438" i="1"/>
  <c r="U404" i="1"/>
  <c r="U396" i="1"/>
  <c r="U362" i="1"/>
  <c r="U354" i="1"/>
  <c r="U320" i="1"/>
  <c r="U270" i="1"/>
  <c r="U253" i="1"/>
  <c r="U228" i="1"/>
  <c r="U211" i="1"/>
  <c r="U186" i="1"/>
  <c r="U137" i="1"/>
  <c r="U113" i="1"/>
  <c r="U7" i="1"/>
  <c r="U502" i="1"/>
  <c r="U460" i="1"/>
  <c r="U151" i="1"/>
  <c r="U417" i="1"/>
  <c r="U368" i="1"/>
  <c r="U284" i="1"/>
  <c r="U200" i="1"/>
  <c r="U46" i="1"/>
  <c r="U576" i="1"/>
  <c r="U434" i="1"/>
  <c r="U392" i="1"/>
  <c r="U375" i="1"/>
  <c r="U350" i="1"/>
  <c r="U333" i="1"/>
  <c r="U291" i="1"/>
  <c r="U283" i="1"/>
  <c r="U249" i="1"/>
  <c r="U241" i="1"/>
  <c r="U207" i="1"/>
  <c r="U199" i="1"/>
  <c r="U166" i="1"/>
  <c r="U158" i="1"/>
  <c r="U109" i="1"/>
  <c r="U101" i="1"/>
  <c r="U53" i="1"/>
  <c r="U45" i="1"/>
  <c r="U12" i="1"/>
  <c r="U294" i="1"/>
  <c r="U252" i="1"/>
  <c r="U335" i="1"/>
  <c r="U578" i="1"/>
  <c r="U494" i="1"/>
  <c r="U452" i="1"/>
  <c r="U410" i="1"/>
  <c r="U4" i="1"/>
  <c r="U517" i="1"/>
  <c r="U475" i="1"/>
  <c r="U433" i="1"/>
  <c r="U282" i="1"/>
  <c r="U165" i="1"/>
  <c r="U11" i="1"/>
  <c r="U336" i="1"/>
  <c r="U501" i="1"/>
  <c r="U326" i="1"/>
  <c r="U592" i="1"/>
  <c r="U558" i="1"/>
  <c r="U550" i="1"/>
  <c r="U516" i="1"/>
  <c r="U508" i="1"/>
  <c r="U366" i="1"/>
  <c r="U324" i="1"/>
  <c r="U223" i="1"/>
  <c r="U181" i="1"/>
  <c r="U125" i="1"/>
  <c r="U68" i="1"/>
  <c r="U60" i="1"/>
  <c r="U419" i="1"/>
  <c r="U377" i="1"/>
  <c r="U418" i="1"/>
  <c r="U585" i="1"/>
  <c r="U543" i="1"/>
  <c r="U242" i="1"/>
  <c r="U110" i="1"/>
  <c r="U591" i="1"/>
  <c r="U557" i="1"/>
  <c r="U515" i="1"/>
  <c r="U466" i="1"/>
  <c r="U449" i="1"/>
  <c r="U424" i="1"/>
  <c r="U407" i="1"/>
  <c r="U365" i="1"/>
  <c r="U306" i="1"/>
  <c r="U298" i="1"/>
  <c r="U264" i="1"/>
  <c r="U256" i="1"/>
  <c r="U222" i="1"/>
  <c r="U214" i="1"/>
  <c r="U124" i="1"/>
  <c r="U116" i="1"/>
  <c r="U67" i="1"/>
  <c r="U536" i="1"/>
  <c r="U459" i="1"/>
  <c r="U208" i="1"/>
  <c r="U102" i="1"/>
  <c r="U532" i="1"/>
  <c r="U490" i="1"/>
  <c r="U473" i="1"/>
  <c r="U448" i="1"/>
  <c r="U431" i="1"/>
  <c r="U382" i="1"/>
  <c r="U340" i="1"/>
  <c r="U305" i="1"/>
  <c r="U297" i="1"/>
  <c r="U263" i="1"/>
  <c r="U221" i="1"/>
  <c r="U172" i="1"/>
  <c r="U123" i="1"/>
  <c r="U83" i="1"/>
  <c r="U27" i="1"/>
  <c r="U18" i="1"/>
  <c r="AR62" i="1" l="1"/>
  <c r="AR454" i="1"/>
  <c r="AR181" i="1"/>
  <c r="AR212" i="1"/>
  <c r="AR135" i="1"/>
  <c r="AR71" i="1"/>
  <c r="AR33" i="1"/>
  <c r="AR272" i="1"/>
  <c r="AR372" i="1"/>
  <c r="AR447" i="1"/>
  <c r="AR518" i="1"/>
  <c r="AR56" i="1"/>
  <c r="AR34" i="1"/>
  <c r="AR144" i="1"/>
  <c r="AR238" i="1"/>
  <c r="AR96" i="1"/>
  <c r="AR5" i="1"/>
  <c r="AR218" i="1"/>
  <c r="AR133" i="1"/>
  <c r="AR358" i="1"/>
  <c r="AR504" i="1"/>
  <c r="AR360" i="1"/>
  <c r="AR158" i="1"/>
  <c r="AR306" i="1"/>
  <c r="AR581" i="1"/>
  <c r="AR538" i="1"/>
  <c r="AR136" i="1"/>
  <c r="AR422" i="1"/>
  <c r="AR176" i="1"/>
  <c r="AR211" i="1"/>
  <c r="AR469" i="1"/>
  <c r="AR248" i="1"/>
  <c r="AR77" i="1"/>
  <c r="AR140" i="1"/>
  <c r="AR418" i="1"/>
  <c r="AR555" i="1"/>
  <c r="AR286" i="1"/>
  <c r="AR21" i="1"/>
  <c r="AR55" i="1"/>
  <c r="AR459" i="1"/>
  <c r="AR14" i="1"/>
  <c r="AR75" i="1"/>
  <c r="AR254" i="1"/>
  <c r="AR433" i="1"/>
  <c r="AR349" i="1"/>
  <c r="AR324" i="1"/>
  <c r="AR552" i="1"/>
  <c r="AR604" i="1"/>
  <c r="AR565" i="1"/>
  <c r="AR80" i="1"/>
  <c r="AR343" i="1"/>
  <c r="AR458" i="1"/>
  <c r="AR174" i="1"/>
  <c r="AR482" i="1"/>
  <c r="AR439" i="1"/>
  <c r="AR363" i="1"/>
  <c r="AR486" i="1"/>
  <c r="AR6" i="1"/>
  <c r="AR131" i="1"/>
  <c r="AR408" i="1"/>
  <c r="AR155" i="1"/>
  <c r="AR150" i="1"/>
  <c r="AR314" i="1"/>
  <c r="AR431" i="1"/>
  <c r="AR208" i="1"/>
  <c r="AR434" i="1"/>
  <c r="AR173" i="1"/>
  <c r="AR609" i="1"/>
  <c r="AR309" i="1"/>
  <c r="AR590" i="1"/>
  <c r="AR351" i="1"/>
  <c r="AR430" i="1"/>
  <c r="AR187" i="1"/>
  <c r="AR468" i="1"/>
  <c r="AR399" i="1"/>
  <c r="AR335" i="1"/>
  <c r="AR586" i="1"/>
  <c r="AR390" i="1"/>
  <c r="AR477" i="1"/>
  <c r="AR145" i="1"/>
  <c r="AR4" i="1"/>
  <c r="AR99" i="1"/>
  <c r="AR370" i="1"/>
  <c r="AR300" i="1"/>
  <c r="AR307" i="1"/>
  <c r="AR472" i="1"/>
  <c r="AR545" i="1"/>
  <c r="AR375" i="1"/>
  <c r="AR366" i="1"/>
  <c r="AR111" i="1"/>
  <c r="AR38" i="1"/>
  <c r="AR142" i="1"/>
  <c r="AR102" i="1"/>
  <c r="AR449" i="1"/>
  <c r="AR315" i="1"/>
  <c r="AR83" i="1"/>
  <c r="AR389" i="1"/>
  <c r="AR98" i="1"/>
  <c r="AR127" i="1"/>
  <c r="AR243" i="1"/>
  <c r="AR338" i="1"/>
  <c r="AR58" i="1"/>
  <c r="AR427" i="1"/>
  <c r="AR514" i="1"/>
  <c r="AR234" i="1"/>
  <c r="AR132" i="1"/>
  <c r="AR342" i="1"/>
  <c r="AR500" i="1"/>
  <c r="AR43" i="1"/>
  <c r="AR537" i="1"/>
  <c r="AR543" i="1"/>
  <c r="AR90" i="1"/>
  <c r="AR550" i="1"/>
  <c r="AR198" i="1"/>
  <c r="AR9" i="1"/>
  <c r="AR94" i="1"/>
  <c r="AR337" i="1"/>
  <c r="AR402" i="1"/>
  <c r="AR265" i="1"/>
  <c r="AR328" i="1"/>
  <c r="AR156" i="1"/>
  <c r="AR400" i="1"/>
  <c r="AR453" i="1"/>
  <c r="AR202" i="1"/>
  <c r="AR413" i="1"/>
  <c r="AR61" i="1"/>
  <c r="AR41" i="1"/>
  <c r="AR20" i="1"/>
  <c r="AR114" i="1"/>
  <c r="AR52" i="1"/>
  <c r="AR124" i="1"/>
  <c r="AR308" i="1"/>
  <c r="AR28" i="1"/>
  <c r="AR178" i="1"/>
  <c r="AR103" i="1"/>
  <c r="AR534" i="1"/>
  <c r="AR330" i="1"/>
  <c r="AR561" i="1"/>
  <c r="AR374" i="1"/>
  <c r="AR357" i="1"/>
  <c r="AR502" i="1"/>
  <c r="AR100" i="1"/>
  <c r="AR263" i="1"/>
  <c r="AR392" i="1"/>
  <c r="AR346" i="1"/>
  <c r="AR516" i="1"/>
  <c r="AR151" i="1"/>
  <c r="AR355" i="1"/>
  <c r="AR587" i="1"/>
  <c r="AR436" i="1"/>
  <c r="AR47" i="1"/>
  <c r="AR344" i="1"/>
  <c r="AR506" i="1"/>
  <c r="AR240" i="1"/>
  <c r="AR296" i="1"/>
  <c r="AR267" i="1"/>
  <c r="AR30" i="1"/>
  <c r="AR371" i="1"/>
  <c r="AR63" i="1"/>
  <c r="AR159" i="1"/>
  <c r="AR60" i="1"/>
  <c r="AR378" i="1"/>
  <c r="AR168" i="1"/>
  <c r="AR82" i="1"/>
  <c r="AR532" i="1"/>
  <c r="AR10" i="1"/>
  <c r="AR341" i="1"/>
  <c r="AR167" i="1"/>
  <c r="AR608" i="1"/>
  <c r="AR125" i="1"/>
  <c r="AR503" i="1"/>
  <c r="AR356" i="1"/>
  <c r="AR496" i="1"/>
  <c r="AR270" i="1"/>
  <c r="AR359" i="1"/>
  <c r="AR149" i="1"/>
  <c r="AR460" i="1"/>
  <c r="AR584" i="1"/>
  <c r="AR385" i="1"/>
  <c r="AR505" i="1"/>
  <c r="AR492" i="1"/>
  <c r="AR126" i="1"/>
  <c r="AR250" i="1"/>
  <c r="AR169" i="1"/>
  <c r="AR139" i="1"/>
  <c r="AR525" i="1"/>
  <c r="AR592" i="1"/>
  <c r="AR368" i="1"/>
  <c r="AR252" i="1"/>
  <c r="AR214" i="1"/>
  <c r="AR257" i="1"/>
  <c r="AR347" i="1"/>
  <c r="AR578" i="1"/>
  <c r="AR365" i="1"/>
  <c r="AR602" i="1"/>
  <c r="AR350" i="1"/>
  <c r="AR416" i="1"/>
  <c r="AR579" i="1"/>
  <c r="AR105" i="1"/>
  <c r="AR116" i="1"/>
  <c r="AR210" i="1"/>
  <c r="AR220" i="1"/>
  <c r="AR93" i="1"/>
  <c r="AR323" i="1"/>
  <c r="AR574" i="1"/>
  <c r="AR388" i="1"/>
  <c r="AR557" i="1"/>
  <c r="AR522" i="1"/>
  <c r="AR88" i="1"/>
  <c r="AR406" i="1"/>
  <c r="AR461" i="1"/>
  <c r="AR206" i="1"/>
  <c r="AR345" i="1"/>
  <c r="AR79" i="1"/>
  <c r="AR295" i="1"/>
  <c r="AR442" i="1"/>
  <c r="AR526" i="1"/>
  <c r="AR377" i="1"/>
  <c r="AR466" i="1"/>
  <c r="AR548" i="1"/>
  <c r="AR336" i="1"/>
  <c r="AR86" i="1"/>
  <c r="AR564" i="1"/>
  <c r="AR313" i="1"/>
  <c r="AR260" i="1"/>
  <c r="AR583" i="1"/>
  <c r="AR478" i="1"/>
  <c r="AR226" i="1"/>
  <c r="AR259" i="1"/>
  <c r="AR519" i="1"/>
  <c r="AR290" i="1"/>
  <c r="AR310" i="1"/>
  <c r="AR582" i="1"/>
  <c r="AR120" i="1"/>
  <c r="AR201" i="1"/>
  <c r="AR464" i="1"/>
  <c r="AR239" i="1"/>
  <c r="AR276" i="1"/>
  <c r="AR282" i="1"/>
  <c r="AR467" i="1"/>
  <c r="AR554" i="1"/>
  <c r="AR175" i="1"/>
  <c r="AR533" i="1"/>
  <c r="AR318" i="1"/>
  <c r="AR352" i="1"/>
  <c r="AR596" i="1"/>
  <c r="AR179" i="1"/>
  <c r="AR597" i="1"/>
  <c r="AR285" i="1"/>
  <c r="AR268" i="1"/>
  <c r="AR553" i="1"/>
  <c r="AR189" i="1"/>
  <c r="AR450" i="1"/>
  <c r="AR217" i="1"/>
  <c r="AR463" i="1"/>
  <c r="AR225" i="1"/>
  <c r="AR523" i="1"/>
  <c r="AR262" i="1"/>
  <c r="AR474" i="1"/>
  <c r="AR130" i="1"/>
  <c r="AR305" i="1"/>
  <c r="AR224" i="1"/>
  <c r="AR452" i="1"/>
  <c r="AR256" i="1"/>
  <c r="AR32" i="1"/>
  <c r="AR25" i="1"/>
  <c r="AR122" i="1"/>
  <c r="AR37" i="1"/>
  <c r="AR600" i="1"/>
  <c r="AR598" i="1"/>
  <c r="AR278" i="1"/>
  <c r="AR264" i="1"/>
  <c r="AR401" i="1"/>
  <c r="AR46" i="1"/>
  <c r="AR39" i="1"/>
  <c r="AR364" i="1"/>
  <c r="AR253" i="1"/>
  <c r="AR66" i="1"/>
  <c r="AR438" i="1"/>
  <c r="AR242" i="1"/>
  <c r="AR108" i="1"/>
  <c r="AR194" i="1"/>
  <c r="AR420" i="1"/>
  <c r="AR303" i="1"/>
  <c r="AR485" i="1"/>
  <c r="AR85" i="1"/>
  <c r="AR547" i="1"/>
  <c r="AR528" i="1"/>
  <c r="AR91" i="1"/>
  <c r="AR595" i="1"/>
  <c r="AR172" i="1"/>
  <c r="AR266" i="1"/>
  <c r="AR42" i="1"/>
  <c r="AR65" i="1"/>
  <c r="AR601" i="1"/>
  <c r="AR471" i="1"/>
  <c r="AR233" i="1"/>
  <c r="AR475" i="1"/>
  <c r="AR480" i="1"/>
  <c r="AR424" i="1"/>
  <c r="AR228" i="1"/>
  <c r="AR585" i="1"/>
  <c r="AR322" i="1"/>
  <c r="AR527" i="1"/>
  <c r="AR410" i="1"/>
  <c r="AR571" i="1"/>
  <c r="AR294" i="1"/>
  <c r="AR107" i="1"/>
  <c r="AR508" i="1"/>
  <c r="AR141" i="1"/>
  <c r="AR542" i="1"/>
  <c r="AR287" i="1"/>
  <c r="AR490" i="1"/>
  <c r="AR249" i="1"/>
  <c r="AR53" i="1"/>
  <c r="AR292" i="1"/>
  <c r="AR235" i="1"/>
  <c r="AR599" i="1"/>
  <c r="AR403" i="1"/>
  <c r="AR207" i="1"/>
  <c r="AR11" i="1"/>
  <c r="AR373" i="1"/>
  <c r="AR446" i="1"/>
  <c r="AR432" i="1"/>
  <c r="AR236" i="1"/>
  <c r="AR404" i="1"/>
  <c r="AR606" i="1"/>
  <c r="AR544" i="1"/>
  <c r="AR152" i="1"/>
  <c r="AR182" i="1"/>
  <c r="AR529" i="1"/>
  <c r="AR572" i="1"/>
  <c r="AR180" i="1"/>
  <c r="AR515" i="1"/>
  <c r="AR123" i="1"/>
  <c r="AR558" i="1"/>
  <c r="AR476" i="1"/>
  <c r="AR487" i="1"/>
  <c r="AR95" i="1"/>
  <c r="AR530" i="1"/>
  <c r="AR154" i="1"/>
  <c r="AR473" i="1"/>
  <c r="AR277" i="1"/>
  <c r="AR81" i="1"/>
  <c r="AR457" i="1"/>
  <c r="AR382" i="1"/>
  <c r="AR448" i="1"/>
  <c r="AR68" i="1"/>
  <c r="AR54" i="1"/>
  <c r="AR196" i="1"/>
  <c r="AR40" i="1"/>
  <c r="AR494" i="1"/>
  <c r="AR74" i="1"/>
  <c r="AR499" i="1"/>
  <c r="AR541" i="1"/>
  <c r="AR588" i="1"/>
  <c r="AR200" i="1"/>
  <c r="AR546" i="1"/>
  <c r="AR84" i="1"/>
  <c r="AR51" i="1"/>
  <c r="AR443" i="1"/>
  <c r="AR396" i="1"/>
  <c r="AR186" i="1"/>
  <c r="AR280" i="1"/>
  <c r="AR70" i="1"/>
  <c r="AR284" i="1"/>
  <c r="AR191" i="1"/>
  <c r="AR177" i="1"/>
  <c r="AR205" i="1"/>
  <c r="AR354" i="1"/>
  <c r="AR376" i="1"/>
  <c r="AR331" i="1"/>
  <c r="AR340" i="1"/>
  <c r="AR362" i="1"/>
  <c r="AR569" i="1"/>
  <c r="AR317" i="1"/>
  <c r="AR23" i="1"/>
  <c r="AR326" i="1"/>
  <c r="AR348" i="1"/>
  <c r="AR289" i="1"/>
  <c r="AR312" i="1"/>
  <c r="AR573" i="1"/>
  <c r="AR334" i="1"/>
  <c r="AR275" i="1"/>
  <c r="AR429" i="1"/>
  <c r="AR298" i="1"/>
  <c r="AR320" i="1"/>
  <c r="AR12" i="1"/>
  <c r="AR513" i="1"/>
  <c r="AR261" i="1"/>
  <c r="AR415" i="1"/>
  <c r="AR163" i="1"/>
</calcChain>
</file>

<file path=xl/sharedStrings.xml><?xml version="1.0" encoding="utf-8"?>
<sst xmlns="http://schemas.openxmlformats.org/spreadsheetml/2006/main" count="5522" uniqueCount="724">
  <si>
    <t>Situation</t>
  </si>
  <si>
    <t>B</t>
  </si>
  <si>
    <t>r1</t>
  </si>
  <si>
    <t>r2</t>
  </si>
  <si>
    <t>r3</t>
  </si>
  <si>
    <t>b1</t>
  </si>
  <si>
    <t>b2</t>
  </si>
  <si>
    <t>b3</t>
  </si>
  <si>
    <t>aB</t>
  </si>
  <si>
    <t>a1</t>
  </si>
  <si>
    <t>a2</t>
  </si>
  <si>
    <t>a3</t>
  </si>
  <si>
    <t>Runs</t>
  </si>
  <si>
    <t>eOuts</t>
  </si>
  <si>
    <t>OBC</t>
  </si>
  <si>
    <t>AB</t>
  </si>
  <si>
    <t>HIT</t>
  </si>
  <si>
    <t>ExcludedPositions</t>
  </si>
  <si>
    <t>DefaultPosition</t>
  </si>
  <si>
    <t>ThrowOrder</t>
  </si>
  <si>
    <t>ThrowOrder_P</t>
  </si>
  <si>
    <t>ThrowOrder_C</t>
  </si>
  <si>
    <t>ThrowOrder_1B</t>
  </si>
  <si>
    <t>ThrowOrder_2B</t>
  </si>
  <si>
    <t>ThrowOrder_SS</t>
  </si>
  <si>
    <t>ThrowOrder_3B</t>
  </si>
  <si>
    <t>ThrowOrder_OF</t>
  </si>
  <si>
    <t>obc_ before</t>
  </si>
  <si>
    <t>obc_after</t>
  </si>
  <si>
    <t>obc_before_code</t>
  </si>
  <si>
    <t>obc_after_code</t>
  </si>
  <si>
    <t>obc_before_scenario</t>
  </si>
  <si>
    <t>obc_after_scenario</t>
  </si>
  <si>
    <t>obc_before_check</t>
  </si>
  <si>
    <t>obc_after_check</t>
  </si>
  <si>
    <t>obc_either_check</t>
  </si>
  <si>
    <t>obc</t>
  </si>
  <si>
    <t>obc_code</t>
  </si>
  <si>
    <t>0_0_1B</t>
  </si>
  <si>
    <t>Y</t>
  </si>
  <si>
    <t>0_1_1B</t>
  </si>
  <si>
    <t>0_2_1B</t>
  </si>
  <si>
    <t>0_3_1B</t>
  </si>
  <si>
    <t>b4</t>
  </si>
  <si>
    <t>0_4_1B</t>
  </si>
  <si>
    <t>0_5_1B</t>
  </si>
  <si>
    <t>0_6_1B</t>
  </si>
  <si>
    <t>0_7_1B</t>
  </si>
  <si>
    <t>1_0_1B</t>
  </si>
  <si>
    <t>1_1_1B</t>
  </si>
  <si>
    <t>1_2_1B</t>
  </si>
  <si>
    <t>1_3_1B</t>
  </si>
  <si>
    <t>1_4_1B</t>
  </si>
  <si>
    <t>1_5_1B</t>
  </si>
  <si>
    <t>1_6_1B</t>
  </si>
  <si>
    <t>1_7_1B</t>
  </si>
  <si>
    <t>2_0_1B</t>
  </si>
  <si>
    <t>2_1_1B</t>
  </si>
  <si>
    <t>2_2_1B</t>
  </si>
  <si>
    <t>2_3_1B</t>
  </si>
  <si>
    <t>2_4_1B</t>
  </si>
  <si>
    <t>2_5_1B</t>
  </si>
  <si>
    <t>2_6_1B</t>
  </si>
  <si>
    <t>2_7_1B</t>
  </si>
  <si>
    <t>0_1_1BWH</t>
  </si>
  <si>
    <t>0_2_1BWH</t>
  </si>
  <si>
    <t>0_4_1BWH</t>
  </si>
  <si>
    <t>0_5_1BWH</t>
  </si>
  <si>
    <t>0_6_1BWH</t>
  </si>
  <si>
    <t>0_7_1BWH</t>
  </si>
  <si>
    <t>1_1_1BWH</t>
  </si>
  <si>
    <t>1_2_1BWH</t>
  </si>
  <si>
    <t>1_4_1BWH</t>
  </si>
  <si>
    <t>1_5_1BWH</t>
  </si>
  <si>
    <t>1_6_1BWH</t>
  </si>
  <si>
    <t>1_7_1BWH</t>
  </si>
  <si>
    <t>2_1_1BWH</t>
  </si>
  <si>
    <t>2_2_1BWH</t>
  </si>
  <si>
    <t>2_4_1BWH</t>
  </si>
  <si>
    <t>2_5_1BWH</t>
  </si>
  <si>
    <t>2_6_1BWH</t>
  </si>
  <si>
    <t>2_7_1BWH</t>
  </si>
  <si>
    <t>0_4_1BWH2</t>
  </si>
  <si>
    <t>0_7_1BWH2</t>
  </si>
  <si>
    <t>1_4_1BWH2</t>
  </si>
  <si>
    <t>1_7_1BWH2</t>
  </si>
  <si>
    <t>2_4_1BWH2</t>
  </si>
  <si>
    <t>2_7_1BWH2</t>
  </si>
  <si>
    <t>0_0_2B</t>
  </si>
  <si>
    <t>0_1_2B</t>
  </si>
  <si>
    <t>0_2_2B</t>
  </si>
  <si>
    <t>0_3_2B</t>
  </si>
  <si>
    <t>0_4_2B</t>
  </si>
  <si>
    <t>0_5_2B</t>
  </si>
  <si>
    <t>0_6_2B</t>
  </si>
  <si>
    <t>0_7_2B</t>
  </si>
  <si>
    <t>1_0_2B</t>
  </si>
  <si>
    <t>1_1_2B</t>
  </si>
  <si>
    <t>1_2_2B</t>
  </si>
  <si>
    <t>1_3_2B</t>
  </si>
  <si>
    <t>1_4_2B</t>
  </si>
  <si>
    <t>1_5_2B</t>
  </si>
  <si>
    <t>1_6_2B</t>
  </si>
  <si>
    <t>1_7_2B</t>
  </si>
  <si>
    <t>2_0_2B</t>
  </si>
  <si>
    <t>2_1_2B</t>
  </si>
  <si>
    <t>2_2_2B</t>
  </si>
  <si>
    <t>2_3_2B</t>
  </si>
  <si>
    <t>2_4_2B</t>
  </si>
  <si>
    <t>2_5_2B</t>
  </si>
  <si>
    <t>2_6_2B</t>
  </si>
  <si>
    <t>2_7_2B</t>
  </si>
  <si>
    <t>0_1_2BWH</t>
  </si>
  <si>
    <t>0_4_2BWH</t>
  </si>
  <si>
    <t>0_5_2BWH</t>
  </si>
  <si>
    <t>0_7_2BWH</t>
  </si>
  <si>
    <t>1_1_2BWH</t>
  </si>
  <si>
    <t>1_4_2BWH</t>
  </si>
  <si>
    <t>1_5_2BWH</t>
  </si>
  <si>
    <t>1_7_2BWH</t>
  </si>
  <si>
    <t>2_1_2BWH</t>
  </si>
  <si>
    <t>2_4_2BWH</t>
  </si>
  <si>
    <t>2_5_2BWH</t>
  </si>
  <si>
    <t>2_7_2BWH</t>
  </si>
  <si>
    <t>0_0_3B</t>
  </si>
  <si>
    <t>0_1_3B</t>
  </si>
  <si>
    <t>0_2_3B</t>
  </si>
  <si>
    <t>0_3_3B</t>
  </si>
  <si>
    <t>0_4_3B</t>
  </si>
  <si>
    <t>0_5_3B</t>
  </si>
  <si>
    <t>0_6_3B</t>
  </si>
  <si>
    <t>0_7_3B</t>
  </si>
  <si>
    <t>1_0_3B</t>
  </si>
  <si>
    <t>1_1_3B</t>
  </si>
  <si>
    <t>1_2_3B</t>
  </si>
  <si>
    <t>1_3_3B</t>
  </si>
  <si>
    <t>1_4_3B</t>
  </si>
  <si>
    <t>1_5_3B</t>
  </si>
  <si>
    <t>1_6_3B</t>
  </si>
  <si>
    <t>1_7_3B</t>
  </si>
  <si>
    <t>2_0_3B</t>
  </si>
  <si>
    <t>2_1_3B</t>
  </si>
  <si>
    <t>2_2_3B</t>
  </si>
  <si>
    <t>2_3_3B</t>
  </si>
  <si>
    <t>2_4_3B</t>
  </si>
  <si>
    <t>2_5_3B</t>
  </si>
  <si>
    <t>2_6_3B</t>
  </si>
  <si>
    <t>2_7_3B</t>
  </si>
  <si>
    <t>0_1_Balk</t>
  </si>
  <si>
    <t>N</t>
  </si>
  <si>
    <t>0_2_Balk</t>
  </si>
  <si>
    <t>0_3_Balk</t>
  </si>
  <si>
    <t>0_4_Balk</t>
  </si>
  <si>
    <t>0_5_Balk</t>
  </si>
  <si>
    <t>0_6_Balk</t>
  </si>
  <si>
    <t>0_7_Balk</t>
  </si>
  <si>
    <t>1_1_Balk</t>
  </si>
  <si>
    <t>1_2_Balk</t>
  </si>
  <si>
    <t>1_3_Balk</t>
  </si>
  <si>
    <t>1_4_Balk</t>
  </si>
  <si>
    <t>1_5_Balk</t>
  </si>
  <si>
    <t>1_6_Balk</t>
  </si>
  <si>
    <t>1_7_Balk</t>
  </si>
  <si>
    <t>2_1_Balk</t>
  </si>
  <si>
    <t>2_2_Balk</t>
  </si>
  <si>
    <t>2_3_Balk</t>
  </si>
  <si>
    <t>2_4_Balk</t>
  </si>
  <si>
    <t>2_5_Balk</t>
  </si>
  <si>
    <t>2_6_Balk</t>
  </si>
  <si>
    <t>2_7_Balk</t>
  </si>
  <si>
    <t>0_0_bAuto</t>
  </si>
  <si>
    <t>0_1_bAuto</t>
  </si>
  <si>
    <t>0_2_bAuto</t>
  </si>
  <si>
    <t>0_3_bAuto</t>
  </si>
  <si>
    <t>0_4_bAuto</t>
  </si>
  <si>
    <t>0_5_bAuto</t>
  </si>
  <si>
    <t>0_6_bAuto</t>
  </si>
  <si>
    <t>0_7_bAuto</t>
  </si>
  <si>
    <t>1_0_bAuto</t>
  </si>
  <si>
    <t>1_1_bAuto</t>
  </si>
  <si>
    <t>1_2_bAuto</t>
  </si>
  <si>
    <t>1_3_bAuto</t>
  </si>
  <si>
    <t>1_4_bAuto</t>
  </si>
  <si>
    <t>1_5_bAuto</t>
  </si>
  <si>
    <t>1_6_bAuto</t>
  </si>
  <si>
    <t>1_7_bAuto</t>
  </si>
  <si>
    <t>2_0_bAuto</t>
  </si>
  <si>
    <t>2_1_bAuto</t>
  </si>
  <si>
    <t>2_2_bAuto</t>
  </si>
  <si>
    <t>2_3_bAuto</t>
  </si>
  <si>
    <t>2_4_bAuto</t>
  </si>
  <si>
    <t>2_5_bAuto</t>
  </si>
  <si>
    <t>2_6_bAuto</t>
  </si>
  <si>
    <t>2_7_bAuto</t>
  </si>
  <si>
    <t>0_0_B1B</t>
  </si>
  <si>
    <t>0_1_B1B</t>
  </si>
  <si>
    <t>0_2_B1B</t>
  </si>
  <si>
    <t>0_3_B1B</t>
  </si>
  <si>
    <t>0_4_B1B</t>
  </si>
  <si>
    <t>0_5_B1B</t>
  </si>
  <si>
    <t>0_6_B1B</t>
  </si>
  <si>
    <t>0_7_B1B</t>
  </si>
  <si>
    <t>1_0_B1B</t>
  </si>
  <si>
    <t>1_1_B1B</t>
  </si>
  <si>
    <t>1_2_B1B</t>
  </si>
  <si>
    <t>1_3_B1B</t>
  </si>
  <si>
    <t>1_4_B1B</t>
  </si>
  <si>
    <t>1_5_B1B</t>
  </si>
  <si>
    <t>1_6_B1B</t>
  </si>
  <si>
    <t>1_7_B1B</t>
  </si>
  <si>
    <t>2_0_B1B</t>
  </si>
  <si>
    <t>2_1_B1B</t>
  </si>
  <si>
    <t>2_2_B1B</t>
  </si>
  <si>
    <t>2_3_B1B</t>
  </si>
  <si>
    <t>2_4_B1B</t>
  </si>
  <si>
    <t>2_5_B1B</t>
  </si>
  <si>
    <t>2_6_B1B</t>
  </si>
  <si>
    <t>2_7_B1B</t>
  </si>
  <si>
    <t>0_1_B1BWH</t>
  </si>
  <si>
    <t>0_2_B1BWH</t>
  </si>
  <si>
    <t>0_4_B1BWH</t>
  </si>
  <si>
    <t>0_5_B1BWH</t>
  </si>
  <si>
    <t>0_6_B1BWH</t>
  </si>
  <si>
    <t>0_7_B1BWH</t>
  </si>
  <si>
    <t>1_1_B1BWH</t>
  </si>
  <si>
    <t>1_2_B1BWH</t>
  </si>
  <si>
    <t>1_4_B1BWH</t>
  </si>
  <si>
    <t>1_5_B1BWH</t>
  </si>
  <si>
    <t>1_6_B1BWH</t>
  </si>
  <si>
    <t>1_7_B1BWH</t>
  </si>
  <si>
    <t>2_1_B1BWH</t>
  </si>
  <si>
    <t>2_2_B1BWH</t>
  </si>
  <si>
    <t>2_4_B1BWH</t>
  </si>
  <si>
    <t>2_5_B1BWH</t>
  </si>
  <si>
    <t>2_6_B1BWH</t>
  </si>
  <si>
    <t>2_7_B1BWH</t>
  </si>
  <si>
    <t>0_0_BB</t>
  </si>
  <si>
    <t>0_1_BB</t>
  </si>
  <si>
    <t>0_2_BB</t>
  </si>
  <si>
    <t>0_3_BB</t>
  </si>
  <si>
    <t>0_4_BB</t>
  </si>
  <si>
    <t>0_5_BB</t>
  </si>
  <si>
    <t>0_6_BB</t>
  </si>
  <si>
    <t>0_7_BB</t>
  </si>
  <si>
    <t>1_0_BB</t>
  </si>
  <si>
    <t>1_1_BB</t>
  </si>
  <si>
    <t>1_2_BB</t>
  </si>
  <si>
    <t>1_3_BB</t>
  </si>
  <si>
    <t>1_4_BB</t>
  </si>
  <si>
    <t>1_5_BB</t>
  </si>
  <si>
    <t>1_6_BB</t>
  </si>
  <si>
    <t>1_7_BB</t>
  </si>
  <si>
    <t>2_0_BB</t>
  </si>
  <si>
    <t>2_1_BB</t>
  </si>
  <si>
    <t>2_2_BB</t>
  </si>
  <si>
    <t>2_3_BB</t>
  </si>
  <si>
    <t>2_4_BB</t>
  </si>
  <si>
    <t>2_5_BB</t>
  </si>
  <si>
    <t>2_6_BB</t>
  </si>
  <si>
    <t>2_7_BB</t>
  </si>
  <si>
    <t>0_1_BDP</t>
  </si>
  <si>
    <t>2B,SS</t>
  </si>
  <si>
    <t>3B</t>
  </si>
  <si>
    <t>2,1</t>
  </si>
  <si>
    <t>0_2_BDP</t>
  </si>
  <si>
    <t>3,1</t>
  </si>
  <si>
    <t>0_3_BDP</t>
  </si>
  <si>
    <t>4,1</t>
  </si>
  <si>
    <t>0_4_BDP</t>
  </si>
  <si>
    <t>0_5_BDP</t>
  </si>
  <si>
    <t>0_6_BDP</t>
  </si>
  <si>
    <t>0_7_BDP</t>
  </si>
  <si>
    <t>1_1_BDP</t>
  </si>
  <si>
    <t>1_2_BDP</t>
  </si>
  <si>
    <t>1_3_BDP</t>
  </si>
  <si>
    <t>1_4_BDP</t>
  </si>
  <si>
    <t>1_5_BDP</t>
  </si>
  <si>
    <t>1_6_BDP</t>
  </si>
  <si>
    <t>1_7_BDP</t>
  </si>
  <si>
    <t>0_1_BFC</t>
  </si>
  <si>
    <t>0_2_BFC</t>
  </si>
  <si>
    <t>0_3_BFC</t>
  </si>
  <si>
    <t>0_4_BFC</t>
  </si>
  <si>
    <t>0_5_BFC</t>
  </si>
  <si>
    <t>0_6_BFC</t>
  </si>
  <si>
    <t>0_7_BFC</t>
  </si>
  <si>
    <t>1_1_BFC</t>
  </si>
  <si>
    <t>1_2_BFC</t>
  </si>
  <si>
    <t>1_3_BFC</t>
  </si>
  <si>
    <t>1_4_BFC</t>
  </si>
  <si>
    <t>1_5_BFC</t>
  </si>
  <si>
    <t>1_6_BFC</t>
  </si>
  <si>
    <t>1_7_BFC</t>
  </si>
  <si>
    <t>2_1_BFC</t>
  </si>
  <si>
    <t>2_2_BFC</t>
  </si>
  <si>
    <t>2_3_BFC</t>
  </si>
  <si>
    <t>2_4_BFC</t>
  </si>
  <si>
    <t>2_5_BFC</t>
  </si>
  <si>
    <t>2_6_BFC</t>
  </si>
  <si>
    <t>2_7_BFC</t>
  </si>
  <si>
    <t>0_0_BGO</t>
  </si>
  <si>
    <t>1_0_BGO</t>
  </si>
  <si>
    <t>2_0_BGO</t>
  </si>
  <si>
    <t>0_1_CS</t>
  </si>
  <si>
    <t>C</t>
  </si>
  <si>
    <t>0_5_CS</t>
  </si>
  <si>
    <t>1_1_CS</t>
  </si>
  <si>
    <t>1_5_CS</t>
  </si>
  <si>
    <t>2_1_CS</t>
  </si>
  <si>
    <t>2_5_CS</t>
  </si>
  <si>
    <t>0_1_CS2</t>
  </si>
  <si>
    <t>0_5_CS2</t>
  </si>
  <si>
    <t>1_1_CS2</t>
  </si>
  <si>
    <t>1_5_CS2</t>
  </si>
  <si>
    <t>2_1_CS2</t>
  </si>
  <si>
    <t>2_5_CS2</t>
  </si>
  <si>
    <t>0_2_CS3</t>
  </si>
  <si>
    <t>0_4_CS3</t>
  </si>
  <si>
    <t>1_2_CS3</t>
  </si>
  <si>
    <t>1_4_CS3</t>
  </si>
  <si>
    <t>2_2_CS3</t>
  </si>
  <si>
    <t>2_4_CS3</t>
  </si>
  <si>
    <t>0_3_CS4</t>
  </si>
  <si>
    <t>P</t>
  </si>
  <si>
    <t>0_5_CS4</t>
  </si>
  <si>
    <t>0_6_CS4</t>
  </si>
  <si>
    <t>0_7_CS4</t>
  </si>
  <si>
    <t>1_3_CS4</t>
  </si>
  <si>
    <t>1_5_CS4</t>
  </si>
  <si>
    <t>1_6_CS4</t>
  </si>
  <si>
    <t>1_7_CS4</t>
  </si>
  <si>
    <t>2_3_CS4</t>
  </si>
  <si>
    <t>2_5_CS4</t>
  </si>
  <si>
    <t>2_6_CS4</t>
  </si>
  <si>
    <t>2_7_CS4</t>
  </si>
  <si>
    <t>0_1_DFO</t>
  </si>
  <si>
    <t>0_2_DFO</t>
  </si>
  <si>
    <t>LF</t>
  </si>
  <si>
    <t>CF</t>
  </si>
  <si>
    <t>0_3_DFO</t>
  </si>
  <si>
    <t>0_4_DFO</t>
  </si>
  <si>
    <t>0_5_DFO</t>
  </si>
  <si>
    <t>0_6_DFO</t>
  </si>
  <si>
    <t>0_7_DFO</t>
  </si>
  <si>
    <t>1_1_DFO</t>
  </si>
  <si>
    <t>1_2_DFO</t>
  </si>
  <si>
    <t>1_3_DFO</t>
  </si>
  <si>
    <t>1_4_DFO</t>
  </si>
  <si>
    <t>1_5_DFO</t>
  </si>
  <si>
    <t>1_6_DFO</t>
  </si>
  <si>
    <t>1_7_DFO</t>
  </si>
  <si>
    <t>0_1_DP</t>
  </si>
  <si>
    <t>1_1_DP</t>
  </si>
  <si>
    <t>1_7_DP21</t>
  </si>
  <si>
    <t>0_4_DP21</t>
  </si>
  <si>
    <t>0_5_DP21</t>
  </si>
  <si>
    <t>0_7_DP21</t>
  </si>
  <si>
    <t>1_4_DP21</t>
  </si>
  <si>
    <t>1_5_DP21</t>
  </si>
  <si>
    <t>1_6_DP21</t>
  </si>
  <si>
    <t>0_4_DP31</t>
  </si>
  <si>
    <t>2B</t>
  </si>
  <si>
    <t>0_7_DP31</t>
  </si>
  <si>
    <t>1_4_DP31</t>
  </si>
  <si>
    <t>1_7_DP31</t>
  </si>
  <si>
    <t>0_7_DPH1</t>
  </si>
  <si>
    <t>1_7_DPH1</t>
  </si>
  <si>
    <t>0_5_DPRun</t>
  </si>
  <si>
    <t>0_3_DSacF</t>
  </si>
  <si>
    <t>0_5_DSacF</t>
  </si>
  <si>
    <t>0_6_DSacF</t>
  </si>
  <si>
    <t>0_7_DSacF</t>
  </si>
  <si>
    <t>1_3_DSacF</t>
  </si>
  <si>
    <t>1_5_DSacF</t>
  </si>
  <si>
    <t>1_6_DSacF</t>
  </si>
  <si>
    <t>1_7_DSacF</t>
  </si>
  <si>
    <t>0_1_FC</t>
  </si>
  <si>
    <t>0_4_FC</t>
  </si>
  <si>
    <t>0_5_FC</t>
  </si>
  <si>
    <t>1_1_FC</t>
  </si>
  <si>
    <t>1_4_FC</t>
  </si>
  <si>
    <t>1_5_FC</t>
  </si>
  <si>
    <t>0_4_FC3rd</t>
  </si>
  <si>
    <t>1_4_FC3rd</t>
  </si>
  <si>
    <t>0_5_FCH</t>
  </si>
  <si>
    <t>0_7_FCH</t>
  </si>
  <si>
    <t>1_5_FCH</t>
  </si>
  <si>
    <t>1_7_FCH</t>
  </si>
  <si>
    <t>0_0_FO</t>
  </si>
  <si>
    <t>0_1_FO</t>
  </si>
  <si>
    <t>0_2_FO</t>
  </si>
  <si>
    <t>0_3_FO</t>
  </si>
  <si>
    <t>0_4_FO</t>
  </si>
  <si>
    <t>0_5_FO</t>
  </si>
  <si>
    <t>0_6_FO</t>
  </si>
  <si>
    <t>0_7_FO</t>
  </si>
  <si>
    <t>1_0_FO</t>
  </si>
  <si>
    <t>1_1_FO</t>
  </si>
  <si>
    <t>1_2_FO</t>
  </si>
  <si>
    <t>1_3_FO</t>
  </si>
  <si>
    <t>1_4_FO</t>
  </si>
  <si>
    <t>1_5_FO</t>
  </si>
  <si>
    <t>1_6_FO</t>
  </si>
  <si>
    <t>1_7_FO</t>
  </si>
  <si>
    <t>2_0_FO</t>
  </si>
  <si>
    <t>2_1_FO</t>
  </si>
  <si>
    <t>2_2_FO</t>
  </si>
  <si>
    <t>2_3_FO</t>
  </si>
  <si>
    <t>2_4_FO</t>
  </si>
  <si>
    <t>2_5_FO</t>
  </si>
  <si>
    <t>2_6_FO</t>
  </si>
  <si>
    <t>2_7_FO</t>
  </si>
  <si>
    <t>0_0_GO</t>
  </si>
  <si>
    <t>0_2_GO</t>
  </si>
  <si>
    <t>0_3_GO</t>
  </si>
  <si>
    <t>0_6_GO</t>
  </si>
  <si>
    <t>1_0_GO</t>
  </si>
  <si>
    <t>1_2_GO</t>
  </si>
  <si>
    <t>1_3_GO</t>
  </si>
  <si>
    <t>1_6_GO</t>
  </si>
  <si>
    <t>2_0_GO</t>
  </si>
  <si>
    <t>2_1_GO</t>
  </si>
  <si>
    <t>2_2_GO</t>
  </si>
  <si>
    <t>2_3_GO</t>
  </si>
  <si>
    <t>2_4_GO</t>
  </si>
  <si>
    <t>2_5_GO</t>
  </si>
  <si>
    <t>2_6_GO</t>
  </si>
  <si>
    <t>2_7_GO</t>
  </si>
  <si>
    <t>0_1_GORA</t>
  </si>
  <si>
    <t>0_2_GORA</t>
  </si>
  <si>
    <t>0_3_GORA</t>
  </si>
  <si>
    <t>0_4_GORA</t>
  </si>
  <si>
    <t>0_5_GORA</t>
  </si>
  <si>
    <t>0_6_GORA</t>
  </si>
  <si>
    <t>0_7_GORA</t>
  </si>
  <si>
    <t>1_1_GORA</t>
  </si>
  <si>
    <t>1_2_GORA</t>
  </si>
  <si>
    <t>1_3_GORA</t>
  </si>
  <si>
    <t>1_4_GORA</t>
  </si>
  <si>
    <t>1_5_GORA</t>
  </si>
  <si>
    <t>1_6_GORA</t>
  </si>
  <si>
    <t>1_7_GORA</t>
  </si>
  <si>
    <t>0_0_HR</t>
  </si>
  <si>
    <t>0_1_HR</t>
  </si>
  <si>
    <t>0_2_HR</t>
  </si>
  <si>
    <t>0_3_HR</t>
  </si>
  <si>
    <t>0_4_HR</t>
  </si>
  <si>
    <t>0_5_HR</t>
  </si>
  <si>
    <t>0_6_HR</t>
  </si>
  <si>
    <t>0_7_HR</t>
  </si>
  <si>
    <t>1_0_HR</t>
  </si>
  <si>
    <t>1_1_HR</t>
  </si>
  <si>
    <t>1_2_HR</t>
  </si>
  <si>
    <t>1_3_HR</t>
  </si>
  <si>
    <t>1_4_HR</t>
  </si>
  <si>
    <t>1_5_HR</t>
  </si>
  <si>
    <t>1_6_HR</t>
  </si>
  <si>
    <t>1_7_HR</t>
  </si>
  <si>
    <t>2_0_HR</t>
  </si>
  <si>
    <t>2_1_HR</t>
  </si>
  <si>
    <t>2_2_HR</t>
  </si>
  <si>
    <t>2_3_HR</t>
  </si>
  <si>
    <t>2_4_HR</t>
  </si>
  <si>
    <t>2_5_HR</t>
  </si>
  <si>
    <t>2_6_HR</t>
  </si>
  <si>
    <t>2_7_HR</t>
  </si>
  <si>
    <t>0_0_IBB</t>
  </si>
  <si>
    <t>0_1_IBB</t>
  </si>
  <si>
    <t>0_2_IBB</t>
  </si>
  <si>
    <t>0_3_IBB</t>
  </si>
  <si>
    <t>0_4_IBB</t>
  </si>
  <si>
    <t>0_5_IBB</t>
  </si>
  <si>
    <t>0_6_IBB</t>
  </si>
  <si>
    <t>0_7_IBB</t>
  </si>
  <si>
    <t>1_0_IBB</t>
  </si>
  <si>
    <t>1_1_IBB</t>
  </si>
  <si>
    <t>1_2_IBB</t>
  </si>
  <si>
    <t>1_3_IBB</t>
  </si>
  <si>
    <t>1_4_IBB</t>
  </si>
  <si>
    <t>1_5_IBB</t>
  </si>
  <si>
    <t>1_6_IBB</t>
  </si>
  <si>
    <t>1_7_IBB</t>
  </si>
  <si>
    <t>2_0_IBB</t>
  </si>
  <si>
    <t>2_1_IBB</t>
  </si>
  <si>
    <t>2_2_IBB</t>
  </si>
  <si>
    <t>2_3_IBB</t>
  </si>
  <si>
    <t>2_4_IBB</t>
  </si>
  <si>
    <t>2_5_IBB</t>
  </si>
  <si>
    <t>2_6_IBB</t>
  </si>
  <si>
    <t>2_7_IBB</t>
  </si>
  <si>
    <t>0_0_IF1B</t>
  </si>
  <si>
    <t>0_1_IF1B</t>
  </si>
  <si>
    <t>0_2_IF1B</t>
  </si>
  <si>
    <t>0_3_IF1B</t>
  </si>
  <si>
    <t>0_4_IF1B</t>
  </si>
  <si>
    <t>0_5_IF1B</t>
  </si>
  <si>
    <t>0_6_IF1B</t>
  </si>
  <si>
    <t>1_0_IF1B</t>
  </si>
  <si>
    <t>1_1_IF1B</t>
  </si>
  <si>
    <t>1_2_IF1B</t>
  </si>
  <si>
    <t>1_3_IF1B</t>
  </si>
  <si>
    <t>1_4_IF1B</t>
  </si>
  <si>
    <t>1_5_IF1B</t>
  </si>
  <si>
    <t>1_6_IF1B</t>
  </si>
  <si>
    <t>1_7_IF1B</t>
  </si>
  <si>
    <t>2_0_IF1B</t>
  </si>
  <si>
    <t>2_1_IF1B</t>
  </si>
  <si>
    <t>2_2_IF1B</t>
  </si>
  <si>
    <t>2_3_IF1B</t>
  </si>
  <si>
    <t>2_4_IF1B</t>
  </si>
  <si>
    <t>2_5_IF1B</t>
  </si>
  <si>
    <t>2_6_IF1B</t>
  </si>
  <si>
    <t>2_7_IF1B</t>
  </si>
  <si>
    <t>0_0_K</t>
  </si>
  <si>
    <t>0_1_K</t>
  </si>
  <si>
    <t>0_2_K</t>
  </si>
  <si>
    <t>0_3_K</t>
  </si>
  <si>
    <t>0_4_K</t>
  </si>
  <si>
    <t>0_5_K</t>
  </si>
  <si>
    <t>0_6_K</t>
  </si>
  <si>
    <t>0_7_K</t>
  </si>
  <si>
    <t>1_0_K</t>
  </si>
  <si>
    <t>1_1_K</t>
  </si>
  <si>
    <t>1_2_K</t>
  </si>
  <si>
    <t>1_3_K</t>
  </si>
  <si>
    <t>1_4_K</t>
  </si>
  <si>
    <t>1_5_K</t>
  </si>
  <si>
    <t>1_6_K</t>
  </si>
  <si>
    <t>1_7_K</t>
  </si>
  <si>
    <t>2_0_K</t>
  </si>
  <si>
    <t>2_1_K</t>
  </si>
  <si>
    <t>2_2_K</t>
  </si>
  <si>
    <t>2_3_K</t>
  </si>
  <si>
    <t>2_4_K</t>
  </si>
  <si>
    <t>2_5_K</t>
  </si>
  <si>
    <t>2_6_K</t>
  </si>
  <si>
    <t>2_7_K</t>
  </si>
  <si>
    <t>0_0_PO</t>
  </si>
  <si>
    <t>0_1_PO</t>
  </si>
  <si>
    <t>0_2_PO</t>
  </si>
  <si>
    <t>0_3_PO</t>
  </si>
  <si>
    <t>0_4_PO</t>
  </si>
  <si>
    <t>0_5_PO</t>
  </si>
  <si>
    <t>0_6_PO</t>
  </si>
  <si>
    <t>0_7_PO</t>
  </si>
  <si>
    <t>1_0_PO</t>
  </si>
  <si>
    <t>1_1_PO</t>
  </si>
  <si>
    <t>1_2_PO</t>
  </si>
  <si>
    <t>1_3_PO</t>
  </si>
  <si>
    <t>1_4_PO</t>
  </si>
  <si>
    <t>1_5_PO</t>
  </si>
  <si>
    <t>1_6_PO</t>
  </si>
  <si>
    <t>1_7_PO</t>
  </si>
  <si>
    <t>2_0_PO</t>
  </si>
  <si>
    <t>2_1_PO</t>
  </si>
  <si>
    <t>2_2_PO</t>
  </si>
  <si>
    <t>2_3_PO</t>
  </si>
  <si>
    <t>2_4_PO</t>
  </si>
  <si>
    <t>2_5_PO</t>
  </si>
  <si>
    <t>2_6_PO</t>
  </si>
  <si>
    <t>2_7_PO</t>
  </si>
  <si>
    <t>0_1_SacF</t>
  </si>
  <si>
    <t>0_2_SacF</t>
  </si>
  <si>
    <t>0_3_SacF</t>
  </si>
  <si>
    <t>0_4_SacF</t>
  </si>
  <si>
    <t>0_5_SacF</t>
  </si>
  <si>
    <t>0_6_SacF</t>
  </si>
  <si>
    <t>0_7_SacF</t>
  </si>
  <si>
    <t>1_1_SacF</t>
  </si>
  <si>
    <t>1_2_SacF</t>
  </si>
  <si>
    <t>1_3_SacF</t>
  </si>
  <si>
    <t>1_4_SacF</t>
  </si>
  <si>
    <t>1_5_SacF</t>
  </si>
  <si>
    <t>1_6_SacF</t>
  </si>
  <si>
    <t>1_7_SacF</t>
  </si>
  <si>
    <t>0_1_SB</t>
  </si>
  <si>
    <t>0_5_SB</t>
  </si>
  <si>
    <t>1_1_SB</t>
  </si>
  <si>
    <t>1_5_SB</t>
  </si>
  <si>
    <t>2_1_SB</t>
  </si>
  <si>
    <t>2_5_SB</t>
  </si>
  <si>
    <t>0_1_SB2</t>
  </si>
  <si>
    <t>0_5_SB2</t>
  </si>
  <si>
    <t>1_1_SB2</t>
  </si>
  <si>
    <t>1_5_SB2</t>
  </si>
  <si>
    <t>2_1_SB2</t>
  </si>
  <si>
    <t>2_5_SB2</t>
  </si>
  <si>
    <t>0_2_SB3</t>
  </si>
  <si>
    <t>0_4_SB3</t>
  </si>
  <si>
    <t>1_2_SB3</t>
  </si>
  <si>
    <t>1_4_SB3</t>
  </si>
  <si>
    <t>2_2_SB3</t>
  </si>
  <si>
    <t>2_4_SB3</t>
  </si>
  <si>
    <t>0_4_SB32</t>
  </si>
  <si>
    <t>1_4_SB32</t>
  </si>
  <si>
    <t>2_4_SB32</t>
  </si>
  <si>
    <t>0_3_SB4</t>
  </si>
  <si>
    <t>0_5_SB4</t>
  </si>
  <si>
    <t>0_6_SB4</t>
  </si>
  <si>
    <t>0_7_SB4</t>
  </si>
  <si>
    <t>1_3_SB4</t>
  </si>
  <si>
    <t>1_5_SB4</t>
  </si>
  <si>
    <t>1_6_SB4</t>
  </si>
  <si>
    <t>1_7_SB4</t>
  </si>
  <si>
    <t>2_3_SB4</t>
  </si>
  <si>
    <t>2_5_SB4</t>
  </si>
  <si>
    <t>2_6_SB4</t>
  </si>
  <si>
    <t>2_7_SB4</t>
  </si>
  <si>
    <t>0_5_SB42</t>
  </si>
  <si>
    <t>1_5_SB42</t>
  </si>
  <si>
    <t>2_5_SB42</t>
  </si>
  <si>
    <t>0_6_SB43</t>
  </si>
  <si>
    <t>0_7_SB43</t>
  </si>
  <si>
    <t>1_6_SB43</t>
  </si>
  <si>
    <t>1_7_SB43</t>
  </si>
  <si>
    <t>2_6_SB43</t>
  </si>
  <si>
    <t>2_7_SB43</t>
  </si>
  <si>
    <t>0_7_SB432</t>
  </si>
  <si>
    <t>1_7_SB432</t>
  </si>
  <si>
    <t>2_7_SB432</t>
  </si>
  <si>
    <t>0_4_TP</t>
  </si>
  <si>
    <t>SS,2B,1B,P</t>
  </si>
  <si>
    <t>3,2,1</t>
  </si>
  <si>
    <t>0_7_TP</t>
  </si>
  <si>
    <t>4,3,2</t>
  </si>
  <si>
    <t>0_1_SacB</t>
  </si>
  <si>
    <t>0_2_SacB</t>
  </si>
  <si>
    <t>0_3_SacB</t>
  </si>
  <si>
    <t>0_4_SacB</t>
  </si>
  <si>
    <t>0_5_SacB</t>
  </si>
  <si>
    <t>0_6_SacB</t>
  </si>
  <si>
    <t>0_7_SacB</t>
  </si>
  <si>
    <t>1_1_SacB</t>
  </si>
  <si>
    <t>1_2_SacB</t>
  </si>
  <si>
    <t>1_3_SacB</t>
  </si>
  <si>
    <t>1_4_SacB</t>
  </si>
  <si>
    <t>1_5_SacB</t>
  </si>
  <si>
    <t>1_6_SacB</t>
  </si>
  <si>
    <t>1_7_SacB</t>
  </si>
  <si>
    <t>1_5_DP</t>
  </si>
  <si>
    <t>0_5_DP</t>
  </si>
  <si>
    <t>0_2_LODP</t>
  </si>
  <si>
    <t>0_3_LODP</t>
  </si>
  <si>
    <t>0_6_LODP</t>
  </si>
  <si>
    <t>1_2_LODP</t>
  </si>
  <si>
    <t>1_3_LODP</t>
  </si>
  <si>
    <t>1_6_LODP</t>
  </si>
  <si>
    <t>0_5_LODP</t>
  </si>
  <si>
    <t>1_5_LODP</t>
  </si>
  <si>
    <t>2_3_BGO</t>
  </si>
  <si>
    <t>1_0_pAuto</t>
  </si>
  <si>
    <t>g</t>
  </si>
  <si>
    <t>2_0_pAuto</t>
  </si>
  <si>
    <t>0_0_pAuto</t>
  </si>
  <si>
    <t>0_7_IF1B</t>
  </si>
  <si>
    <t>0_1_KCS</t>
  </si>
  <si>
    <t>0_2_KCS</t>
  </si>
  <si>
    <t>0_4_KCS</t>
  </si>
  <si>
    <t>0_5_KCS</t>
  </si>
  <si>
    <t>1_1_KCS</t>
  </si>
  <si>
    <t>1_2_KCS</t>
  </si>
  <si>
    <t>1_4_KCS</t>
  </si>
  <si>
    <t>1_5_KCS</t>
  </si>
  <si>
    <t>delay</t>
  </si>
  <si>
    <t>retreat</t>
  </si>
  <si>
    <t>bOuts</t>
  </si>
  <si>
    <t>Outs</t>
  </si>
  <si>
    <t>Result</t>
  </si>
  <si>
    <t>Who ends up on each base</t>
  </si>
  <si>
    <t>Where each runner advances towards</t>
  </si>
  <si>
    <t>Where runner ends up/out</t>
  </si>
  <si>
    <t>0=out, -1=stranded</t>
  </si>
  <si>
    <t>1B</t>
  </si>
  <si>
    <t>1BWH</t>
  </si>
  <si>
    <t>1BWH2</t>
  </si>
  <si>
    <t>2BWH</t>
  </si>
  <si>
    <t>B1B</t>
  </si>
  <si>
    <t>B1BWH</t>
  </si>
  <si>
    <t>Balk</t>
  </si>
  <si>
    <t>bAuto</t>
  </si>
  <si>
    <t>BB</t>
  </si>
  <si>
    <t>BDP</t>
  </si>
  <si>
    <t>BFC</t>
  </si>
  <si>
    <t>BGO</t>
  </si>
  <si>
    <t>CS</t>
  </si>
  <si>
    <t>CS2</t>
  </si>
  <si>
    <t>CS3</t>
  </si>
  <si>
    <t>CS4</t>
  </si>
  <si>
    <t>DFO</t>
  </si>
  <si>
    <t>DP</t>
  </si>
  <si>
    <t>DP21</t>
  </si>
  <si>
    <t>DP31</t>
  </si>
  <si>
    <t>DPH1</t>
  </si>
  <si>
    <t>DPRun</t>
  </si>
  <si>
    <t>DSacF</t>
  </si>
  <si>
    <t>FC</t>
  </si>
  <si>
    <t>FC3rd</t>
  </si>
  <si>
    <t>FCH</t>
  </si>
  <si>
    <t>FO</t>
  </si>
  <si>
    <t>GO</t>
  </si>
  <si>
    <t>GORA</t>
  </si>
  <si>
    <t>HR</t>
  </si>
  <si>
    <t>IBB</t>
  </si>
  <si>
    <t>IF1B</t>
  </si>
  <si>
    <t>K</t>
  </si>
  <si>
    <t>KCS</t>
  </si>
  <si>
    <t>LODP</t>
  </si>
  <si>
    <t>pAuto</t>
  </si>
  <si>
    <t>PO</t>
  </si>
  <si>
    <t>SacB</t>
  </si>
  <si>
    <t>SacF</t>
  </si>
  <si>
    <t>SB</t>
  </si>
  <si>
    <t>SB2</t>
  </si>
  <si>
    <t>SB3</t>
  </si>
  <si>
    <t>SB32</t>
  </si>
  <si>
    <t>SB4</t>
  </si>
  <si>
    <t>SB42</t>
  </si>
  <si>
    <t>SB43</t>
  </si>
  <si>
    <t>SB432</t>
  </si>
  <si>
    <t>TP</t>
  </si>
  <si>
    <t>Grand Total</t>
  </si>
  <si>
    <t>(blank)</t>
  </si>
  <si>
    <t>Count of B</t>
  </si>
  <si>
    <t>OBC2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</si>
</sst>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son, Alexander" refreshedDate="46238.601661111112" createdVersion="8" refreshedVersion="8" minRefreshableVersion="3" recordCount="608" xr:uid="{92526874-28CE-4D29-938B-E0476DEC680A}">
  <cacheSource type="worksheet">
    <worksheetSource ref="A2:AR610" sheet="import_BRC_debug"/>
  </cacheSource>
  <cacheFields count="44">
    <cacheField name="Situation" numFmtId="0">
      <sharedItems/>
    </cacheField>
    <cacheField name="B" numFmtId="0">
      <sharedItems containsBlank="1" containsMixedTypes="1" containsNumber="1" containsInteger="1" minValue="0" maxValue="0" count="6">
        <s v="b1"/>
        <s v="b2"/>
        <s v="b3"/>
        <m/>
        <n v="0"/>
        <s v="b4"/>
      </sharedItems>
    </cacheField>
    <cacheField name="r1" numFmtId="0">
      <sharedItems containsBlank="1" containsMixedTypes="1" containsNumber="1" containsInteger="1" minValue="0" maxValue="0" count="6">
        <m/>
        <s v="b2"/>
        <s v="b3"/>
        <s v="b4"/>
        <s v="b1"/>
        <n v="0"/>
      </sharedItems>
    </cacheField>
    <cacheField name="r2" numFmtId="0">
      <sharedItems containsBlank="1" containsMixedTypes="1" containsNumber="1" containsInteger="1" minValue="0" maxValue="0"/>
    </cacheField>
    <cacheField name="r3" numFmtId="0">
      <sharedItems containsBlank="1" containsMixedTypes="1" containsNumber="1" containsInteger="1" minValue="0" maxValue="0"/>
    </cacheField>
    <cacheField name="b1" numFmtId="0">
      <sharedItems containsBlank="1"/>
    </cacheField>
    <cacheField name="b2" numFmtId="0">
      <sharedItems containsBlank="1"/>
    </cacheField>
    <cacheField name="b3" numFmtId="0">
      <sharedItems containsBlank="1"/>
    </cacheField>
    <cacheField name="aB" numFmtId="0">
      <sharedItems containsBlank="1" containsMixedTypes="1" containsNumber="1" containsInteger="1" minValue="0" maxValue="0"/>
    </cacheField>
    <cacheField name="a1" numFmtId="0">
      <sharedItems containsBlank="1" containsMixedTypes="1" containsNumber="1" containsInteger="1" minValue="0" maxValue="0"/>
    </cacheField>
    <cacheField name="a2" numFmtId="0">
      <sharedItems containsBlank="1" containsMixedTypes="1" containsNumber="1" containsInteger="1" minValue="0" maxValue="0"/>
    </cacheField>
    <cacheField name="a3" numFmtId="0">
      <sharedItems containsBlank="1" containsMixedTypes="1" containsNumber="1" containsInteger="1" minValue="0" maxValue="0"/>
    </cacheField>
    <cacheField name="delay" numFmtId="0">
      <sharedItems/>
    </cacheField>
    <cacheField name="retreat" numFmtId="0">
      <sharedItems containsBlank="1"/>
    </cacheField>
    <cacheField name="Runs" numFmtId="0">
      <sharedItems containsSemiMixedTypes="0" containsString="0" containsNumber="1" containsInteger="1" minValue="0" maxValue="4"/>
    </cacheField>
    <cacheField name="eOuts" numFmtId="0">
      <sharedItems containsSemiMixedTypes="0" containsString="0" containsNumber="1" containsInteger="1" minValue="0" maxValue="3"/>
    </cacheField>
    <cacheField name="OBC" numFmtId="0">
      <sharedItems containsSemiMixedTypes="0" containsString="0" containsNumber="1" containsInteger="1" minValue="0" maxValue="7" count="8">
        <n v="1"/>
        <n v="4"/>
        <n v="5"/>
        <n v="7"/>
        <n v="2"/>
        <n v="6"/>
        <n v="3"/>
        <n v="0"/>
      </sharedItems>
    </cacheField>
    <cacheField name="Runs2" numFmtId="0">
      <sharedItems containsSemiMixedTypes="0" containsString="0" containsNumber="1" containsInteger="1" minValue="0" maxValue="4"/>
    </cacheField>
    <cacheField name="bOuts" numFmtId="0">
      <sharedItems containsSemiMixedTypes="0" containsString="0" containsNumber="1" containsInteger="1" minValue="0" maxValue="2"/>
    </cacheField>
    <cacheField name="Outs" numFmtId="0">
      <sharedItems containsSemiMixedTypes="0" containsString="0" containsNumber="1" containsInteger="1" minValue="0" maxValue="3"/>
    </cacheField>
    <cacheField name="eOuts2" numFmtId="0">
      <sharedItems containsSemiMixedTypes="0" containsString="0" containsNumber="1" containsInteger="1" minValue="0" maxValue="3"/>
    </cacheField>
    <cacheField name="OBC2" numFmtId="0">
      <sharedItems containsSemiMixedTypes="0" containsString="0" containsNumber="1" containsInteger="1" minValue="0" maxValue="7" count="8">
        <n v="0"/>
        <n v="1"/>
        <n v="2"/>
        <n v="3"/>
        <n v="4"/>
        <n v="5"/>
        <n v="6"/>
        <n v="7"/>
      </sharedItems>
    </cacheField>
    <cacheField name="Result" numFmtId="0">
      <sharedItems count="50">
        <s v="1B"/>
        <s v="1BWH"/>
        <s v="1BWH2"/>
        <s v="2B"/>
        <s v="2BWH"/>
        <s v="3B"/>
        <s v="Balk"/>
        <s v="bAuto"/>
        <s v="B1B"/>
        <s v="B1BWH"/>
        <s v="BB"/>
        <s v="BDP"/>
        <s v="BFC"/>
        <s v="BGO"/>
        <s v="CS"/>
        <s v="CS2"/>
        <s v="CS3"/>
        <s v="CS4"/>
        <s v="DFO"/>
        <s v="DP"/>
        <s v="DP21"/>
        <s v="DP31"/>
        <s v="DPH1"/>
        <s v="DPRun"/>
        <s v="DSacF"/>
        <s v="FC"/>
        <s v="FC3rd"/>
        <s v="FCH"/>
        <s v="FO"/>
        <s v="GO"/>
        <s v="GORA"/>
        <s v="HR"/>
        <s v="IBB"/>
        <s v="IF1B"/>
        <s v="K"/>
        <s v="PO"/>
        <s v="SacF"/>
        <s v="SB"/>
        <s v="SB2"/>
        <s v="SB3"/>
        <s v="SB32"/>
        <s v="SB4"/>
        <s v="SB42"/>
        <s v="SB43"/>
        <s v="SB432"/>
        <s v="TP"/>
        <s v="SacB"/>
        <s v="LODP"/>
        <s v="pAuto"/>
        <s v="KCS"/>
      </sharedItems>
    </cacheField>
    <cacheField name="AB2" numFmtId="0">
      <sharedItems/>
    </cacheField>
    <cacheField name="HIT" numFmtId="0">
      <sharedItems/>
    </cacheField>
    <cacheField name="ExcludedPositions" numFmtId="0">
      <sharedItems containsBlank="1"/>
    </cacheField>
    <cacheField name="DefaultPosition" numFmtId="0">
      <sharedItems containsBlank="1"/>
    </cacheField>
    <cacheField name="ThrowOrder" numFmtId="0">
      <sharedItems containsBlank="1" containsMixedTypes="1" containsNumber="1" containsInteger="1" minValue="1" maxValue="4"/>
    </cacheField>
    <cacheField name="ThrowOrder_P" numFmtId="0">
      <sharedItems containsBlank="1" containsMixedTypes="1" containsNumber="1" containsInteger="1" minValue="1" maxValue="1"/>
    </cacheField>
    <cacheField name="ThrowOrder_C" numFmtId="0">
      <sharedItems containsBlank="1" containsMixedTypes="1" containsNumber="1" containsInteger="1" minValue="1" maxValue="1"/>
    </cacheField>
    <cacheField name="ThrowOrder_1B" numFmtId="0">
      <sharedItems containsBlank="1" containsMixedTypes="1" containsNumber="1" containsInteger="1" minValue="1" maxValue="1"/>
    </cacheField>
    <cacheField name="ThrowOrder_2B" numFmtId="0">
      <sharedItems containsBlank="1" containsMixedTypes="1" containsNumber="1" containsInteger="1" minValue="1" maxValue="1"/>
    </cacheField>
    <cacheField name="ThrowOrder_SS" numFmtId="0">
      <sharedItems containsBlank="1" containsMixedTypes="1" containsNumber="1" containsInteger="1" minValue="1" maxValue="1"/>
    </cacheField>
    <cacheField name="ThrowOrder_3B" numFmtId="0">
      <sharedItems containsBlank="1" containsMixedTypes="1" containsNumber="1" containsInteger="1" minValue="1" maxValue="3"/>
    </cacheField>
    <cacheField name="ThrowOrder_OF" numFmtId="0">
      <sharedItems containsBlank="1" containsMixedTypes="1" containsNumber="1" containsInteger="1" minValue="1" maxValue="4"/>
    </cacheField>
    <cacheField name="obc_ before" numFmtId="0">
      <sharedItems containsSemiMixedTypes="0" containsString="0" containsNumber="1" containsInteger="1" minValue="0" maxValue="111"/>
    </cacheField>
    <cacheField name="obc_after" numFmtId="0">
      <sharedItems containsSemiMixedTypes="0" containsString="0" containsNumber="1" containsInteger="1" minValue="0" maxValue="111"/>
    </cacheField>
    <cacheField name="obc_before_code" numFmtId="0">
      <sharedItems containsSemiMixedTypes="0" containsString="0" containsNumber="1" containsInteger="1" minValue="0" maxValue="7"/>
    </cacheField>
    <cacheField name="obc_after_code" numFmtId="0">
      <sharedItems containsSemiMixedTypes="0" containsString="0" containsNumber="1" containsInteger="1" minValue="0" maxValue="7"/>
    </cacheField>
    <cacheField name="obc_before_scenario" numFmtId="0">
      <sharedItems containsSemiMixedTypes="0" containsString="0" containsNumber="1" containsInteger="1" minValue="0" maxValue="7"/>
    </cacheField>
    <cacheField name="obc_after_scenario" numFmtId="0">
      <sharedItems containsSemiMixedTypes="0" containsString="0" containsNumber="1" containsInteger="1" minValue="0" maxValue="7"/>
    </cacheField>
    <cacheField name="obc_before_check" numFmtId="0">
      <sharedItems containsSemiMixedTypes="0" containsString="0" containsNumber="1" containsInteger="1" minValue="0" maxValue="1"/>
    </cacheField>
    <cacheField name="obc_after_check" numFmtId="0">
      <sharedItems containsSemiMixedTypes="0" containsString="0" containsNumber="1" containsInteger="1" minValue="0" maxValue="0"/>
    </cacheField>
    <cacheField name="obc_either_check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8">
  <r>
    <s v="0_0_1B"/>
    <x v="0"/>
    <x v="0"/>
    <m/>
    <m/>
    <s v="B"/>
    <m/>
    <m/>
    <s v="b1"/>
    <m/>
    <m/>
    <m/>
    <b v="0"/>
    <m/>
    <n v="0"/>
    <n v="0"/>
    <x v="0"/>
    <n v="0"/>
    <n v="0"/>
    <n v="0"/>
    <n v="0"/>
    <x v="0"/>
    <x v="0"/>
    <s v="Y"/>
    <s v="Y"/>
    <m/>
    <m/>
    <m/>
    <m/>
    <m/>
    <m/>
    <m/>
    <m/>
    <m/>
    <m/>
    <n v="0"/>
    <n v="1"/>
    <n v="0"/>
    <n v="1"/>
    <n v="0"/>
    <n v="1"/>
    <n v="0"/>
    <n v="0"/>
    <n v="0"/>
  </r>
  <r>
    <s v="0_1_1B"/>
    <x v="0"/>
    <x v="1"/>
    <m/>
    <m/>
    <s v="B"/>
    <s v="r1"/>
    <m/>
    <s v="b1"/>
    <s v="b2"/>
    <m/>
    <m/>
    <b v="0"/>
    <m/>
    <n v="0"/>
    <n v="0"/>
    <x v="1"/>
    <n v="0"/>
    <n v="0"/>
    <n v="0"/>
    <n v="0"/>
    <x v="1"/>
    <x v="0"/>
    <s v="Y"/>
    <s v="Y"/>
    <m/>
    <m/>
    <m/>
    <m/>
    <m/>
    <m/>
    <m/>
    <m/>
    <m/>
    <m/>
    <n v="1"/>
    <n v="11"/>
    <n v="1"/>
    <n v="4"/>
    <n v="1"/>
    <n v="4"/>
    <n v="0"/>
    <n v="0"/>
    <n v="0"/>
  </r>
  <r>
    <s v="0_2_1B"/>
    <x v="0"/>
    <x v="0"/>
    <s v="b3"/>
    <m/>
    <s v="B"/>
    <m/>
    <s v="r2"/>
    <s v="b1"/>
    <m/>
    <s v="b3"/>
    <m/>
    <b v="0"/>
    <m/>
    <n v="0"/>
    <n v="0"/>
    <x v="2"/>
    <n v="0"/>
    <n v="0"/>
    <n v="0"/>
    <n v="0"/>
    <x v="2"/>
    <x v="0"/>
    <s v="Y"/>
    <s v="Y"/>
    <m/>
    <m/>
    <m/>
    <m/>
    <m/>
    <m/>
    <m/>
    <m/>
    <m/>
    <m/>
    <n v="10"/>
    <n v="101"/>
    <n v="2"/>
    <n v="5"/>
    <n v="2"/>
    <n v="5"/>
    <n v="0"/>
    <n v="0"/>
    <n v="0"/>
  </r>
  <r>
    <s v="0_3_1B"/>
    <x v="0"/>
    <x v="0"/>
    <m/>
    <s v="b4"/>
    <s v="B"/>
    <m/>
    <m/>
    <s v="b1"/>
    <m/>
    <m/>
    <s v="b4"/>
    <b v="0"/>
    <m/>
    <n v="1"/>
    <n v="0"/>
    <x v="0"/>
    <n v="1"/>
    <n v="0"/>
    <n v="0"/>
    <n v="0"/>
    <x v="3"/>
    <x v="0"/>
    <s v="Y"/>
    <s v="Y"/>
    <m/>
    <m/>
    <m/>
    <m/>
    <m/>
    <m/>
    <m/>
    <m/>
    <m/>
    <m/>
    <n v="100"/>
    <n v="1"/>
    <n v="3"/>
    <n v="1"/>
    <n v="3"/>
    <n v="1"/>
    <n v="0"/>
    <n v="0"/>
    <n v="0"/>
  </r>
  <r>
    <s v="0_4_1B"/>
    <x v="0"/>
    <x v="1"/>
    <s v="b3"/>
    <m/>
    <s v="B"/>
    <s v="r1"/>
    <s v="r2"/>
    <s v="b1"/>
    <s v="b2"/>
    <s v="b3"/>
    <m/>
    <b v="0"/>
    <m/>
    <n v="0"/>
    <n v="0"/>
    <x v="3"/>
    <n v="0"/>
    <n v="0"/>
    <n v="0"/>
    <n v="0"/>
    <x v="4"/>
    <x v="0"/>
    <s v="Y"/>
    <s v="Y"/>
    <m/>
    <m/>
    <m/>
    <m/>
    <m/>
    <m/>
    <m/>
    <m/>
    <m/>
    <m/>
    <n v="11"/>
    <n v="111"/>
    <n v="4"/>
    <n v="7"/>
    <n v="4"/>
    <n v="7"/>
    <n v="0"/>
    <n v="0"/>
    <n v="0"/>
  </r>
  <r>
    <s v="0_5_1B"/>
    <x v="0"/>
    <x v="1"/>
    <m/>
    <s v="b4"/>
    <s v="B"/>
    <s v="r1"/>
    <m/>
    <s v="b1"/>
    <s v="b2"/>
    <m/>
    <s v="b4"/>
    <b v="0"/>
    <m/>
    <n v="1"/>
    <n v="0"/>
    <x v="1"/>
    <n v="1"/>
    <n v="0"/>
    <n v="0"/>
    <n v="0"/>
    <x v="5"/>
    <x v="0"/>
    <s v="Y"/>
    <s v="Y"/>
    <m/>
    <m/>
    <m/>
    <m/>
    <m/>
    <m/>
    <m/>
    <m/>
    <m/>
    <m/>
    <n v="101"/>
    <n v="11"/>
    <n v="5"/>
    <n v="4"/>
    <n v="5"/>
    <n v="4"/>
    <n v="0"/>
    <n v="0"/>
    <n v="0"/>
  </r>
  <r>
    <s v="0_6_1B"/>
    <x v="0"/>
    <x v="0"/>
    <s v="b3"/>
    <s v="b4"/>
    <s v="B"/>
    <m/>
    <s v="r2"/>
    <s v="b1"/>
    <m/>
    <s v="b3"/>
    <s v="b4"/>
    <b v="0"/>
    <m/>
    <n v="1"/>
    <n v="0"/>
    <x v="2"/>
    <n v="1"/>
    <n v="0"/>
    <n v="0"/>
    <n v="0"/>
    <x v="6"/>
    <x v="0"/>
    <s v="Y"/>
    <s v="Y"/>
    <m/>
    <m/>
    <m/>
    <m/>
    <m/>
    <m/>
    <m/>
    <m/>
    <m/>
    <m/>
    <n v="110"/>
    <n v="101"/>
    <n v="6"/>
    <n v="5"/>
    <n v="6"/>
    <n v="5"/>
    <n v="0"/>
    <n v="0"/>
    <n v="0"/>
  </r>
  <r>
    <s v="0_7_1B"/>
    <x v="0"/>
    <x v="1"/>
    <s v="b3"/>
    <s v="b4"/>
    <s v="B"/>
    <s v="r1"/>
    <s v="r2"/>
    <s v="b1"/>
    <s v="b2"/>
    <s v="b3"/>
    <s v="b4"/>
    <b v="0"/>
    <m/>
    <n v="1"/>
    <n v="0"/>
    <x v="3"/>
    <n v="1"/>
    <n v="0"/>
    <n v="0"/>
    <n v="0"/>
    <x v="7"/>
    <x v="0"/>
    <s v="Y"/>
    <s v="Y"/>
    <m/>
    <m/>
    <m/>
    <m/>
    <m/>
    <m/>
    <m/>
    <m/>
    <m/>
    <m/>
    <n v="111"/>
    <n v="111"/>
    <n v="7"/>
    <n v="7"/>
    <n v="7"/>
    <n v="7"/>
    <n v="0"/>
    <n v="0"/>
    <n v="0"/>
  </r>
  <r>
    <s v="1_0_1B"/>
    <x v="0"/>
    <x v="0"/>
    <m/>
    <m/>
    <s v="B"/>
    <m/>
    <m/>
    <s v="b1"/>
    <m/>
    <m/>
    <m/>
    <b v="0"/>
    <m/>
    <n v="0"/>
    <n v="1"/>
    <x v="0"/>
    <n v="0"/>
    <n v="1"/>
    <n v="0"/>
    <n v="1"/>
    <x v="0"/>
    <x v="0"/>
    <s v="Y"/>
    <s v="Y"/>
    <m/>
    <m/>
    <m/>
    <m/>
    <m/>
    <m/>
    <m/>
    <m/>
    <m/>
    <m/>
    <n v="0"/>
    <n v="1"/>
    <n v="0"/>
    <n v="1"/>
    <n v="0"/>
    <n v="1"/>
    <n v="0"/>
    <n v="0"/>
    <n v="0"/>
  </r>
  <r>
    <s v="1_1_1B"/>
    <x v="0"/>
    <x v="1"/>
    <m/>
    <m/>
    <s v="B"/>
    <s v="r1"/>
    <m/>
    <s v="b1"/>
    <s v="b2"/>
    <m/>
    <m/>
    <b v="0"/>
    <m/>
    <n v="0"/>
    <n v="1"/>
    <x v="1"/>
    <n v="0"/>
    <n v="1"/>
    <n v="0"/>
    <n v="1"/>
    <x v="1"/>
    <x v="0"/>
    <s v="Y"/>
    <s v="Y"/>
    <m/>
    <m/>
    <m/>
    <m/>
    <m/>
    <m/>
    <m/>
    <m/>
    <m/>
    <m/>
    <n v="1"/>
    <n v="11"/>
    <n v="1"/>
    <n v="4"/>
    <n v="1"/>
    <n v="4"/>
    <n v="0"/>
    <n v="0"/>
    <n v="0"/>
  </r>
  <r>
    <s v="1_2_1B"/>
    <x v="0"/>
    <x v="0"/>
    <s v="b3"/>
    <m/>
    <s v="B"/>
    <m/>
    <s v="r2"/>
    <s v="b1"/>
    <m/>
    <s v="b3"/>
    <m/>
    <b v="0"/>
    <m/>
    <n v="0"/>
    <n v="1"/>
    <x v="2"/>
    <n v="0"/>
    <n v="1"/>
    <n v="0"/>
    <n v="1"/>
    <x v="2"/>
    <x v="0"/>
    <s v="Y"/>
    <s v="Y"/>
    <m/>
    <m/>
    <m/>
    <m/>
    <m/>
    <m/>
    <m/>
    <m/>
    <m/>
    <m/>
    <n v="10"/>
    <n v="101"/>
    <n v="2"/>
    <n v="5"/>
    <n v="2"/>
    <n v="5"/>
    <n v="0"/>
    <n v="0"/>
    <n v="0"/>
  </r>
  <r>
    <s v="1_3_1B"/>
    <x v="0"/>
    <x v="0"/>
    <m/>
    <s v="b4"/>
    <s v="B"/>
    <m/>
    <m/>
    <s v="b1"/>
    <m/>
    <m/>
    <s v="b4"/>
    <b v="0"/>
    <m/>
    <n v="1"/>
    <n v="1"/>
    <x v="0"/>
    <n v="1"/>
    <n v="1"/>
    <n v="0"/>
    <n v="1"/>
    <x v="3"/>
    <x v="0"/>
    <s v="Y"/>
    <s v="Y"/>
    <m/>
    <m/>
    <m/>
    <m/>
    <m/>
    <m/>
    <m/>
    <m/>
    <m/>
    <m/>
    <n v="100"/>
    <n v="1"/>
    <n v="3"/>
    <n v="1"/>
    <n v="3"/>
    <n v="1"/>
    <n v="0"/>
    <n v="0"/>
    <n v="0"/>
  </r>
  <r>
    <s v="1_4_1B"/>
    <x v="0"/>
    <x v="1"/>
    <s v="b3"/>
    <m/>
    <s v="B"/>
    <s v="r1"/>
    <s v="r2"/>
    <s v="b1"/>
    <s v="b2"/>
    <s v="b3"/>
    <m/>
    <b v="0"/>
    <m/>
    <n v="0"/>
    <n v="1"/>
    <x v="3"/>
    <n v="0"/>
    <n v="1"/>
    <n v="0"/>
    <n v="1"/>
    <x v="4"/>
    <x v="0"/>
    <s v="Y"/>
    <s v="Y"/>
    <m/>
    <m/>
    <m/>
    <m/>
    <m/>
    <m/>
    <m/>
    <m/>
    <m/>
    <m/>
    <n v="11"/>
    <n v="111"/>
    <n v="4"/>
    <n v="7"/>
    <n v="4"/>
    <n v="7"/>
    <n v="0"/>
    <n v="0"/>
    <n v="0"/>
  </r>
  <r>
    <s v="1_5_1B"/>
    <x v="0"/>
    <x v="1"/>
    <m/>
    <s v="b4"/>
    <s v="B"/>
    <s v="r1"/>
    <m/>
    <s v="b1"/>
    <s v="b2"/>
    <m/>
    <s v="b4"/>
    <b v="0"/>
    <m/>
    <n v="1"/>
    <n v="1"/>
    <x v="1"/>
    <n v="1"/>
    <n v="1"/>
    <n v="0"/>
    <n v="1"/>
    <x v="5"/>
    <x v="0"/>
    <s v="Y"/>
    <s v="Y"/>
    <m/>
    <m/>
    <m/>
    <m/>
    <m/>
    <m/>
    <m/>
    <m/>
    <m/>
    <m/>
    <n v="101"/>
    <n v="11"/>
    <n v="5"/>
    <n v="4"/>
    <n v="5"/>
    <n v="4"/>
    <n v="0"/>
    <n v="0"/>
    <n v="0"/>
  </r>
  <r>
    <s v="1_6_1B"/>
    <x v="0"/>
    <x v="0"/>
    <s v="b3"/>
    <s v="b4"/>
    <s v="B"/>
    <m/>
    <s v="r2"/>
    <s v="b1"/>
    <m/>
    <s v="b3"/>
    <s v="b4"/>
    <b v="0"/>
    <m/>
    <n v="1"/>
    <n v="1"/>
    <x v="2"/>
    <n v="1"/>
    <n v="1"/>
    <n v="0"/>
    <n v="1"/>
    <x v="6"/>
    <x v="0"/>
    <s v="Y"/>
    <s v="Y"/>
    <m/>
    <m/>
    <m/>
    <m/>
    <m/>
    <m/>
    <m/>
    <m/>
    <m/>
    <m/>
    <n v="110"/>
    <n v="101"/>
    <n v="6"/>
    <n v="5"/>
    <n v="6"/>
    <n v="5"/>
    <n v="0"/>
    <n v="0"/>
    <n v="0"/>
  </r>
  <r>
    <s v="1_7_1B"/>
    <x v="0"/>
    <x v="1"/>
    <s v="b3"/>
    <s v="b4"/>
    <s v="B"/>
    <s v="r1"/>
    <s v="r2"/>
    <s v="b1"/>
    <s v="b2"/>
    <s v="b3"/>
    <s v="b4"/>
    <b v="0"/>
    <m/>
    <n v="1"/>
    <n v="1"/>
    <x v="3"/>
    <n v="1"/>
    <n v="1"/>
    <n v="0"/>
    <n v="1"/>
    <x v="7"/>
    <x v="0"/>
    <s v="Y"/>
    <s v="Y"/>
    <m/>
    <m/>
    <m/>
    <m/>
    <m/>
    <m/>
    <m/>
    <m/>
    <m/>
    <m/>
    <n v="111"/>
    <n v="111"/>
    <n v="7"/>
    <n v="7"/>
    <n v="7"/>
    <n v="7"/>
    <n v="0"/>
    <n v="0"/>
    <n v="0"/>
  </r>
  <r>
    <s v="2_0_1B"/>
    <x v="0"/>
    <x v="0"/>
    <m/>
    <m/>
    <s v="B"/>
    <m/>
    <m/>
    <s v="b1"/>
    <m/>
    <m/>
    <m/>
    <b v="0"/>
    <m/>
    <n v="0"/>
    <n v="2"/>
    <x v="0"/>
    <n v="0"/>
    <n v="2"/>
    <n v="0"/>
    <n v="2"/>
    <x v="0"/>
    <x v="0"/>
    <s v="Y"/>
    <s v="Y"/>
    <m/>
    <m/>
    <m/>
    <m/>
    <m/>
    <m/>
    <m/>
    <m/>
    <m/>
    <m/>
    <n v="0"/>
    <n v="1"/>
    <n v="0"/>
    <n v="1"/>
    <n v="0"/>
    <n v="1"/>
    <n v="0"/>
    <n v="0"/>
    <n v="0"/>
  </r>
  <r>
    <s v="2_1_1B"/>
    <x v="0"/>
    <x v="1"/>
    <m/>
    <m/>
    <s v="B"/>
    <s v="r1"/>
    <m/>
    <s v="b1"/>
    <s v="b2"/>
    <m/>
    <m/>
    <b v="0"/>
    <m/>
    <n v="0"/>
    <n v="2"/>
    <x v="1"/>
    <n v="0"/>
    <n v="2"/>
    <n v="0"/>
    <n v="2"/>
    <x v="1"/>
    <x v="0"/>
    <s v="Y"/>
    <s v="Y"/>
    <m/>
    <m/>
    <m/>
    <m/>
    <m/>
    <m/>
    <m/>
    <m/>
    <m/>
    <m/>
    <n v="1"/>
    <n v="11"/>
    <n v="1"/>
    <n v="4"/>
    <n v="1"/>
    <n v="4"/>
    <n v="0"/>
    <n v="0"/>
    <n v="0"/>
  </r>
  <r>
    <s v="2_2_1B"/>
    <x v="0"/>
    <x v="0"/>
    <s v="b3"/>
    <m/>
    <s v="B"/>
    <m/>
    <s v="r2"/>
    <s v="b1"/>
    <m/>
    <s v="b3"/>
    <m/>
    <b v="0"/>
    <m/>
    <n v="0"/>
    <n v="2"/>
    <x v="2"/>
    <n v="0"/>
    <n v="2"/>
    <n v="0"/>
    <n v="2"/>
    <x v="2"/>
    <x v="0"/>
    <s v="Y"/>
    <s v="Y"/>
    <m/>
    <m/>
    <m/>
    <m/>
    <m/>
    <m/>
    <m/>
    <m/>
    <m/>
    <m/>
    <n v="10"/>
    <n v="101"/>
    <n v="2"/>
    <n v="5"/>
    <n v="2"/>
    <n v="5"/>
    <n v="0"/>
    <n v="0"/>
    <n v="0"/>
  </r>
  <r>
    <s v="2_3_1B"/>
    <x v="0"/>
    <x v="0"/>
    <m/>
    <s v="b4"/>
    <s v="B"/>
    <m/>
    <m/>
    <s v="b1"/>
    <m/>
    <m/>
    <s v="b4"/>
    <b v="0"/>
    <m/>
    <n v="1"/>
    <n v="2"/>
    <x v="0"/>
    <n v="1"/>
    <n v="2"/>
    <n v="0"/>
    <n v="2"/>
    <x v="3"/>
    <x v="0"/>
    <s v="Y"/>
    <s v="Y"/>
    <m/>
    <m/>
    <m/>
    <m/>
    <m/>
    <m/>
    <m/>
    <m/>
    <m/>
    <m/>
    <n v="100"/>
    <n v="1"/>
    <n v="3"/>
    <n v="1"/>
    <n v="3"/>
    <n v="1"/>
    <n v="0"/>
    <n v="0"/>
    <n v="0"/>
  </r>
  <r>
    <s v="2_4_1B"/>
    <x v="0"/>
    <x v="1"/>
    <s v="b3"/>
    <m/>
    <s v="B"/>
    <s v="r1"/>
    <s v="r2"/>
    <s v="b1"/>
    <s v="b2"/>
    <s v="b3"/>
    <m/>
    <b v="0"/>
    <m/>
    <n v="0"/>
    <n v="2"/>
    <x v="3"/>
    <n v="0"/>
    <n v="2"/>
    <n v="0"/>
    <n v="2"/>
    <x v="4"/>
    <x v="0"/>
    <s v="Y"/>
    <s v="Y"/>
    <m/>
    <m/>
    <m/>
    <m/>
    <m/>
    <m/>
    <m/>
    <m/>
    <m/>
    <m/>
    <n v="11"/>
    <n v="111"/>
    <n v="4"/>
    <n v="7"/>
    <n v="4"/>
    <n v="7"/>
    <n v="0"/>
    <n v="0"/>
    <n v="0"/>
  </r>
  <r>
    <s v="2_5_1B"/>
    <x v="0"/>
    <x v="1"/>
    <m/>
    <s v="b4"/>
    <s v="B"/>
    <s v="r1"/>
    <m/>
    <s v="b1"/>
    <s v="b2"/>
    <m/>
    <s v="b4"/>
    <b v="0"/>
    <m/>
    <n v="1"/>
    <n v="2"/>
    <x v="1"/>
    <n v="1"/>
    <n v="2"/>
    <n v="0"/>
    <n v="2"/>
    <x v="5"/>
    <x v="0"/>
    <s v="Y"/>
    <s v="Y"/>
    <m/>
    <m/>
    <m/>
    <m/>
    <m/>
    <m/>
    <m/>
    <m/>
    <m/>
    <m/>
    <n v="101"/>
    <n v="11"/>
    <n v="5"/>
    <n v="4"/>
    <n v="5"/>
    <n v="4"/>
    <n v="0"/>
    <n v="0"/>
    <n v="0"/>
  </r>
  <r>
    <s v="2_6_1B"/>
    <x v="0"/>
    <x v="0"/>
    <s v="b3"/>
    <s v="b4"/>
    <s v="B"/>
    <m/>
    <s v="r2"/>
    <s v="b1"/>
    <m/>
    <s v="b3"/>
    <s v="b4"/>
    <b v="0"/>
    <m/>
    <n v="1"/>
    <n v="2"/>
    <x v="2"/>
    <n v="1"/>
    <n v="2"/>
    <n v="0"/>
    <n v="2"/>
    <x v="6"/>
    <x v="0"/>
    <s v="Y"/>
    <s v="Y"/>
    <m/>
    <m/>
    <m/>
    <m/>
    <m/>
    <m/>
    <m/>
    <m/>
    <m/>
    <m/>
    <n v="110"/>
    <n v="101"/>
    <n v="6"/>
    <n v="5"/>
    <n v="6"/>
    <n v="5"/>
    <n v="0"/>
    <n v="0"/>
    <n v="0"/>
  </r>
  <r>
    <s v="2_7_1B"/>
    <x v="0"/>
    <x v="1"/>
    <s v="b3"/>
    <s v="b4"/>
    <s v="B"/>
    <s v="r1"/>
    <s v="r2"/>
    <s v="b1"/>
    <s v="b2"/>
    <s v="b3"/>
    <s v="b4"/>
    <b v="0"/>
    <m/>
    <n v="1"/>
    <n v="2"/>
    <x v="3"/>
    <n v="1"/>
    <n v="2"/>
    <n v="0"/>
    <n v="2"/>
    <x v="7"/>
    <x v="0"/>
    <s v="Y"/>
    <s v="Y"/>
    <m/>
    <m/>
    <m/>
    <m/>
    <m/>
    <m/>
    <m/>
    <m/>
    <m/>
    <m/>
    <n v="111"/>
    <n v="111"/>
    <n v="7"/>
    <n v="7"/>
    <n v="7"/>
    <n v="7"/>
    <n v="0"/>
    <n v="0"/>
    <n v="0"/>
  </r>
  <r>
    <s v="0_1_1BWH"/>
    <x v="0"/>
    <x v="2"/>
    <m/>
    <m/>
    <s v="B"/>
    <m/>
    <s v="r1"/>
    <s v="b1"/>
    <s v="b3"/>
    <m/>
    <m/>
    <b v="0"/>
    <m/>
    <n v="0"/>
    <n v="0"/>
    <x v="2"/>
    <n v="0"/>
    <n v="0"/>
    <n v="0"/>
    <n v="0"/>
    <x v="1"/>
    <x v="1"/>
    <s v="Y"/>
    <s v="Y"/>
    <m/>
    <m/>
    <m/>
    <m/>
    <m/>
    <m/>
    <m/>
    <m/>
    <m/>
    <m/>
    <n v="1"/>
    <n v="101"/>
    <n v="1"/>
    <n v="5"/>
    <n v="1"/>
    <n v="5"/>
    <n v="0"/>
    <n v="0"/>
    <n v="0"/>
  </r>
  <r>
    <s v="0_2_1BWH"/>
    <x v="0"/>
    <x v="0"/>
    <s v="b4"/>
    <m/>
    <s v="B"/>
    <m/>
    <m/>
    <s v="b1"/>
    <m/>
    <s v="b4"/>
    <m/>
    <b v="0"/>
    <m/>
    <n v="1"/>
    <n v="0"/>
    <x v="0"/>
    <n v="1"/>
    <n v="0"/>
    <n v="0"/>
    <n v="0"/>
    <x v="2"/>
    <x v="1"/>
    <s v="Y"/>
    <s v="Y"/>
    <m/>
    <m/>
    <m/>
    <m/>
    <m/>
    <m/>
    <m/>
    <m/>
    <m/>
    <m/>
    <n v="10"/>
    <n v="1"/>
    <n v="2"/>
    <n v="1"/>
    <n v="2"/>
    <n v="1"/>
    <n v="0"/>
    <n v="0"/>
    <n v="0"/>
  </r>
  <r>
    <s v="0_4_1BWH"/>
    <x v="0"/>
    <x v="2"/>
    <s v="b4"/>
    <m/>
    <s v="B"/>
    <m/>
    <s v="r1"/>
    <s v="b1"/>
    <s v="b3"/>
    <s v="b4"/>
    <m/>
    <b v="0"/>
    <m/>
    <n v="1"/>
    <n v="0"/>
    <x v="2"/>
    <n v="1"/>
    <n v="0"/>
    <n v="0"/>
    <n v="0"/>
    <x v="4"/>
    <x v="1"/>
    <s v="Y"/>
    <s v="Y"/>
    <m/>
    <m/>
    <m/>
    <m/>
    <m/>
    <m/>
    <m/>
    <m/>
    <m/>
    <m/>
    <n v="11"/>
    <n v="101"/>
    <n v="4"/>
    <n v="5"/>
    <n v="4"/>
    <n v="5"/>
    <n v="0"/>
    <n v="0"/>
    <n v="0"/>
  </r>
  <r>
    <s v="0_5_1BWH"/>
    <x v="0"/>
    <x v="2"/>
    <m/>
    <s v="b4"/>
    <s v="B"/>
    <m/>
    <s v="r1"/>
    <s v="b1"/>
    <s v="b3"/>
    <m/>
    <s v="b4"/>
    <b v="0"/>
    <m/>
    <n v="1"/>
    <n v="0"/>
    <x v="2"/>
    <n v="1"/>
    <n v="0"/>
    <n v="0"/>
    <n v="0"/>
    <x v="5"/>
    <x v="1"/>
    <s v="Y"/>
    <s v="Y"/>
    <m/>
    <m/>
    <m/>
    <m/>
    <m/>
    <m/>
    <m/>
    <m/>
    <m/>
    <m/>
    <n v="101"/>
    <n v="101"/>
    <n v="5"/>
    <n v="5"/>
    <n v="5"/>
    <n v="5"/>
    <n v="0"/>
    <n v="0"/>
    <n v="0"/>
  </r>
  <r>
    <s v="0_6_1BWH"/>
    <x v="0"/>
    <x v="0"/>
    <s v="b4"/>
    <s v="b4"/>
    <s v="B"/>
    <m/>
    <m/>
    <s v="b1"/>
    <m/>
    <s v="b4"/>
    <s v="b4"/>
    <b v="0"/>
    <m/>
    <n v="2"/>
    <n v="0"/>
    <x v="0"/>
    <n v="2"/>
    <n v="0"/>
    <n v="0"/>
    <n v="0"/>
    <x v="6"/>
    <x v="1"/>
    <s v="Y"/>
    <s v="Y"/>
    <m/>
    <m/>
    <m/>
    <m/>
    <m/>
    <m/>
    <m/>
    <m/>
    <m/>
    <m/>
    <n v="110"/>
    <n v="1"/>
    <n v="6"/>
    <n v="1"/>
    <n v="6"/>
    <n v="1"/>
    <n v="0"/>
    <n v="0"/>
    <n v="0"/>
  </r>
  <r>
    <s v="0_7_1BWH"/>
    <x v="0"/>
    <x v="2"/>
    <s v="b4"/>
    <s v="b4"/>
    <s v="B"/>
    <m/>
    <s v="r1"/>
    <s v="b1"/>
    <s v="b3"/>
    <s v="b4"/>
    <s v="b4"/>
    <b v="0"/>
    <m/>
    <n v="2"/>
    <n v="0"/>
    <x v="2"/>
    <n v="2"/>
    <n v="0"/>
    <n v="0"/>
    <n v="0"/>
    <x v="7"/>
    <x v="1"/>
    <s v="Y"/>
    <s v="Y"/>
    <m/>
    <m/>
    <m/>
    <m/>
    <m/>
    <m/>
    <m/>
    <m/>
    <m/>
    <m/>
    <n v="111"/>
    <n v="101"/>
    <n v="7"/>
    <n v="5"/>
    <n v="7"/>
    <n v="5"/>
    <n v="0"/>
    <n v="0"/>
    <n v="0"/>
  </r>
  <r>
    <s v="1_1_1BWH"/>
    <x v="0"/>
    <x v="2"/>
    <m/>
    <m/>
    <s v="B"/>
    <m/>
    <s v="r1"/>
    <s v="b1"/>
    <s v="b3"/>
    <m/>
    <m/>
    <b v="0"/>
    <m/>
    <n v="0"/>
    <n v="1"/>
    <x v="2"/>
    <n v="0"/>
    <n v="1"/>
    <n v="0"/>
    <n v="1"/>
    <x v="1"/>
    <x v="1"/>
    <s v="Y"/>
    <s v="Y"/>
    <m/>
    <m/>
    <m/>
    <m/>
    <m/>
    <m/>
    <m/>
    <m/>
    <m/>
    <m/>
    <n v="1"/>
    <n v="101"/>
    <n v="1"/>
    <n v="5"/>
    <n v="1"/>
    <n v="5"/>
    <n v="0"/>
    <n v="0"/>
    <n v="0"/>
  </r>
  <r>
    <s v="1_2_1BWH"/>
    <x v="0"/>
    <x v="0"/>
    <s v="b4"/>
    <m/>
    <s v="B"/>
    <m/>
    <m/>
    <s v="b1"/>
    <m/>
    <s v="b4"/>
    <m/>
    <b v="0"/>
    <m/>
    <n v="1"/>
    <n v="1"/>
    <x v="0"/>
    <n v="1"/>
    <n v="1"/>
    <n v="0"/>
    <n v="1"/>
    <x v="2"/>
    <x v="1"/>
    <s v="Y"/>
    <s v="Y"/>
    <m/>
    <m/>
    <m/>
    <m/>
    <m/>
    <m/>
    <m/>
    <m/>
    <m/>
    <m/>
    <n v="10"/>
    <n v="1"/>
    <n v="2"/>
    <n v="1"/>
    <n v="2"/>
    <n v="1"/>
    <n v="0"/>
    <n v="0"/>
    <n v="0"/>
  </r>
  <r>
    <s v="1_4_1BWH"/>
    <x v="0"/>
    <x v="2"/>
    <s v="b4"/>
    <m/>
    <s v="B"/>
    <m/>
    <s v="r1"/>
    <s v="b1"/>
    <s v="b3"/>
    <s v="b4"/>
    <m/>
    <b v="0"/>
    <m/>
    <n v="1"/>
    <n v="1"/>
    <x v="2"/>
    <n v="1"/>
    <n v="1"/>
    <n v="0"/>
    <n v="1"/>
    <x v="4"/>
    <x v="1"/>
    <s v="Y"/>
    <s v="Y"/>
    <m/>
    <m/>
    <m/>
    <m/>
    <m/>
    <m/>
    <m/>
    <m/>
    <m/>
    <m/>
    <n v="11"/>
    <n v="101"/>
    <n v="4"/>
    <n v="5"/>
    <n v="4"/>
    <n v="5"/>
    <n v="0"/>
    <n v="0"/>
    <n v="0"/>
  </r>
  <r>
    <s v="1_5_1BWH"/>
    <x v="0"/>
    <x v="2"/>
    <m/>
    <s v="b4"/>
    <s v="B"/>
    <m/>
    <s v="r1"/>
    <s v="b1"/>
    <s v="b3"/>
    <m/>
    <s v="b4"/>
    <b v="0"/>
    <m/>
    <n v="1"/>
    <n v="1"/>
    <x v="2"/>
    <n v="1"/>
    <n v="1"/>
    <n v="0"/>
    <n v="1"/>
    <x v="5"/>
    <x v="1"/>
    <s v="Y"/>
    <s v="Y"/>
    <m/>
    <m/>
    <m/>
    <m/>
    <m/>
    <m/>
    <m/>
    <m/>
    <m/>
    <m/>
    <n v="101"/>
    <n v="101"/>
    <n v="5"/>
    <n v="5"/>
    <n v="5"/>
    <n v="5"/>
    <n v="0"/>
    <n v="0"/>
    <n v="0"/>
  </r>
  <r>
    <s v="1_6_1BWH"/>
    <x v="0"/>
    <x v="0"/>
    <s v="b4"/>
    <s v="b4"/>
    <s v="B"/>
    <m/>
    <m/>
    <s v="b1"/>
    <m/>
    <s v="b4"/>
    <s v="b4"/>
    <b v="0"/>
    <m/>
    <n v="2"/>
    <n v="1"/>
    <x v="0"/>
    <n v="2"/>
    <n v="1"/>
    <n v="0"/>
    <n v="1"/>
    <x v="6"/>
    <x v="1"/>
    <s v="Y"/>
    <s v="Y"/>
    <m/>
    <m/>
    <m/>
    <m/>
    <m/>
    <m/>
    <m/>
    <m/>
    <m/>
    <m/>
    <n v="110"/>
    <n v="1"/>
    <n v="6"/>
    <n v="1"/>
    <n v="6"/>
    <n v="1"/>
    <n v="0"/>
    <n v="0"/>
    <n v="0"/>
  </r>
  <r>
    <s v="1_7_1BWH"/>
    <x v="0"/>
    <x v="2"/>
    <s v="b4"/>
    <s v="b4"/>
    <s v="B"/>
    <m/>
    <s v="r1"/>
    <s v="b1"/>
    <s v="b3"/>
    <s v="b4"/>
    <s v="b4"/>
    <b v="0"/>
    <m/>
    <n v="2"/>
    <n v="1"/>
    <x v="2"/>
    <n v="2"/>
    <n v="1"/>
    <n v="0"/>
    <n v="1"/>
    <x v="7"/>
    <x v="1"/>
    <s v="Y"/>
    <s v="Y"/>
    <m/>
    <m/>
    <m/>
    <m/>
    <m/>
    <m/>
    <m/>
    <m/>
    <m/>
    <m/>
    <n v="111"/>
    <n v="101"/>
    <n v="7"/>
    <n v="5"/>
    <n v="7"/>
    <n v="5"/>
    <n v="0"/>
    <n v="0"/>
    <n v="0"/>
  </r>
  <r>
    <s v="2_1_1BWH"/>
    <x v="0"/>
    <x v="2"/>
    <m/>
    <m/>
    <s v="B"/>
    <m/>
    <s v="r1"/>
    <s v="b1"/>
    <s v="b3"/>
    <m/>
    <m/>
    <b v="0"/>
    <m/>
    <n v="0"/>
    <n v="2"/>
    <x v="2"/>
    <n v="0"/>
    <n v="2"/>
    <n v="0"/>
    <n v="2"/>
    <x v="1"/>
    <x v="1"/>
    <s v="Y"/>
    <s v="Y"/>
    <m/>
    <m/>
    <m/>
    <m/>
    <m/>
    <m/>
    <m/>
    <m/>
    <m/>
    <m/>
    <n v="1"/>
    <n v="101"/>
    <n v="1"/>
    <n v="5"/>
    <n v="1"/>
    <n v="5"/>
    <n v="0"/>
    <n v="0"/>
    <n v="0"/>
  </r>
  <r>
    <s v="2_2_1BWH"/>
    <x v="0"/>
    <x v="0"/>
    <s v="b4"/>
    <m/>
    <s v="B"/>
    <m/>
    <m/>
    <s v="b1"/>
    <m/>
    <s v="b4"/>
    <m/>
    <b v="0"/>
    <m/>
    <n v="1"/>
    <n v="2"/>
    <x v="0"/>
    <n v="1"/>
    <n v="2"/>
    <n v="0"/>
    <n v="2"/>
    <x v="2"/>
    <x v="1"/>
    <s v="Y"/>
    <s v="Y"/>
    <m/>
    <m/>
    <m/>
    <m/>
    <m/>
    <m/>
    <m/>
    <m/>
    <m/>
    <m/>
    <n v="10"/>
    <n v="1"/>
    <n v="2"/>
    <n v="1"/>
    <n v="2"/>
    <n v="1"/>
    <n v="0"/>
    <n v="0"/>
    <n v="0"/>
  </r>
  <r>
    <s v="2_4_1BWH"/>
    <x v="0"/>
    <x v="2"/>
    <s v="b4"/>
    <m/>
    <s v="B"/>
    <m/>
    <s v="r1"/>
    <s v="b1"/>
    <s v="b3"/>
    <s v="b4"/>
    <m/>
    <b v="0"/>
    <m/>
    <n v="1"/>
    <n v="2"/>
    <x v="2"/>
    <n v="1"/>
    <n v="2"/>
    <n v="0"/>
    <n v="2"/>
    <x v="4"/>
    <x v="1"/>
    <s v="Y"/>
    <s v="Y"/>
    <m/>
    <m/>
    <m/>
    <m/>
    <m/>
    <m/>
    <m/>
    <m/>
    <m/>
    <m/>
    <n v="11"/>
    <n v="101"/>
    <n v="4"/>
    <n v="5"/>
    <n v="4"/>
    <n v="5"/>
    <n v="0"/>
    <n v="0"/>
    <n v="0"/>
  </r>
  <r>
    <s v="2_5_1BWH"/>
    <x v="0"/>
    <x v="2"/>
    <m/>
    <s v="b4"/>
    <s v="B"/>
    <m/>
    <s v="r1"/>
    <s v="b1"/>
    <s v="b3"/>
    <m/>
    <s v="b4"/>
    <b v="0"/>
    <m/>
    <n v="1"/>
    <n v="2"/>
    <x v="2"/>
    <n v="1"/>
    <n v="2"/>
    <n v="0"/>
    <n v="2"/>
    <x v="5"/>
    <x v="1"/>
    <s v="Y"/>
    <s v="Y"/>
    <m/>
    <m/>
    <m/>
    <m/>
    <m/>
    <m/>
    <m/>
    <m/>
    <m/>
    <m/>
    <n v="101"/>
    <n v="101"/>
    <n v="5"/>
    <n v="5"/>
    <n v="5"/>
    <n v="5"/>
    <n v="0"/>
    <n v="0"/>
    <n v="0"/>
  </r>
  <r>
    <s v="2_6_1BWH"/>
    <x v="0"/>
    <x v="0"/>
    <s v="b4"/>
    <s v="b4"/>
    <s v="B"/>
    <m/>
    <m/>
    <s v="b1"/>
    <m/>
    <s v="b4"/>
    <s v="b4"/>
    <b v="0"/>
    <m/>
    <n v="2"/>
    <n v="2"/>
    <x v="0"/>
    <n v="2"/>
    <n v="2"/>
    <n v="0"/>
    <n v="2"/>
    <x v="6"/>
    <x v="1"/>
    <s v="Y"/>
    <s v="Y"/>
    <m/>
    <m/>
    <m/>
    <m/>
    <m/>
    <m/>
    <m/>
    <m/>
    <m/>
    <m/>
    <n v="110"/>
    <n v="1"/>
    <n v="6"/>
    <n v="1"/>
    <n v="6"/>
    <n v="1"/>
    <n v="0"/>
    <n v="0"/>
    <n v="0"/>
  </r>
  <r>
    <s v="2_7_1BWH"/>
    <x v="0"/>
    <x v="2"/>
    <s v="b4"/>
    <s v="b4"/>
    <s v="B"/>
    <m/>
    <s v="r1"/>
    <s v="b1"/>
    <s v="b3"/>
    <s v="b4"/>
    <s v="b4"/>
    <b v="0"/>
    <m/>
    <n v="2"/>
    <n v="2"/>
    <x v="2"/>
    <n v="2"/>
    <n v="2"/>
    <n v="0"/>
    <n v="2"/>
    <x v="7"/>
    <x v="1"/>
    <s v="Y"/>
    <s v="Y"/>
    <m/>
    <m/>
    <m/>
    <m/>
    <m/>
    <m/>
    <m/>
    <m/>
    <m/>
    <m/>
    <n v="111"/>
    <n v="101"/>
    <n v="7"/>
    <n v="5"/>
    <n v="7"/>
    <n v="5"/>
    <n v="0"/>
    <n v="0"/>
    <n v="0"/>
  </r>
  <r>
    <s v="0_4_1BWH2"/>
    <x v="0"/>
    <x v="1"/>
    <s v="b4"/>
    <m/>
    <s v="B"/>
    <s v="r1"/>
    <m/>
    <s v="b1"/>
    <s v="b2"/>
    <s v="b4"/>
    <m/>
    <b v="0"/>
    <m/>
    <n v="1"/>
    <n v="0"/>
    <x v="1"/>
    <n v="1"/>
    <n v="0"/>
    <n v="0"/>
    <n v="0"/>
    <x v="4"/>
    <x v="2"/>
    <s v="Y"/>
    <s v="Y"/>
    <m/>
    <m/>
    <m/>
    <m/>
    <m/>
    <m/>
    <m/>
    <m/>
    <m/>
    <m/>
    <n v="11"/>
    <n v="11"/>
    <n v="4"/>
    <n v="4"/>
    <n v="4"/>
    <n v="4"/>
    <n v="0"/>
    <n v="0"/>
    <n v="0"/>
  </r>
  <r>
    <s v="0_7_1BWH2"/>
    <x v="0"/>
    <x v="1"/>
    <s v="b4"/>
    <s v="b4"/>
    <s v="B"/>
    <s v="r1"/>
    <m/>
    <s v="b1"/>
    <s v="b2"/>
    <s v="b4"/>
    <s v="b4"/>
    <b v="0"/>
    <m/>
    <n v="2"/>
    <n v="0"/>
    <x v="1"/>
    <n v="2"/>
    <n v="0"/>
    <n v="0"/>
    <n v="0"/>
    <x v="7"/>
    <x v="2"/>
    <s v="Y"/>
    <s v="Y"/>
    <m/>
    <m/>
    <m/>
    <m/>
    <m/>
    <m/>
    <m/>
    <m/>
    <m/>
    <m/>
    <n v="111"/>
    <n v="11"/>
    <n v="7"/>
    <n v="4"/>
    <n v="7"/>
    <n v="4"/>
    <n v="0"/>
    <n v="0"/>
    <n v="0"/>
  </r>
  <r>
    <s v="1_4_1BWH2"/>
    <x v="0"/>
    <x v="1"/>
    <s v="b4"/>
    <m/>
    <s v="B"/>
    <s v="r1"/>
    <m/>
    <s v="b1"/>
    <s v="b2"/>
    <s v="b4"/>
    <m/>
    <b v="0"/>
    <m/>
    <n v="1"/>
    <n v="1"/>
    <x v="1"/>
    <n v="1"/>
    <n v="1"/>
    <n v="0"/>
    <n v="1"/>
    <x v="4"/>
    <x v="2"/>
    <s v="Y"/>
    <s v="Y"/>
    <m/>
    <m/>
    <m/>
    <m/>
    <m/>
    <m/>
    <m/>
    <m/>
    <m/>
    <m/>
    <n v="11"/>
    <n v="11"/>
    <n v="4"/>
    <n v="4"/>
    <n v="4"/>
    <n v="4"/>
    <n v="0"/>
    <n v="0"/>
    <n v="0"/>
  </r>
  <r>
    <s v="1_7_1BWH2"/>
    <x v="0"/>
    <x v="1"/>
    <s v="b4"/>
    <s v="b4"/>
    <s v="B"/>
    <s v="r1"/>
    <m/>
    <s v="b1"/>
    <s v="b2"/>
    <s v="b4"/>
    <s v="b4"/>
    <b v="0"/>
    <m/>
    <n v="2"/>
    <n v="1"/>
    <x v="1"/>
    <n v="2"/>
    <n v="1"/>
    <n v="0"/>
    <n v="1"/>
    <x v="7"/>
    <x v="2"/>
    <s v="Y"/>
    <s v="Y"/>
    <m/>
    <m/>
    <m/>
    <m/>
    <m/>
    <m/>
    <m/>
    <m/>
    <m/>
    <m/>
    <n v="111"/>
    <n v="11"/>
    <n v="7"/>
    <n v="4"/>
    <n v="7"/>
    <n v="4"/>
    <n v="0"/>
    <n v="0"/>
    <n v="0"/>
  </r>
  <r>
    <s v="2_4_1BWH2"/>
    <x v="0"/>
    <x v="1"/>
    <s v="b4"/>
    <m/>
    <s v="B"/>
    <s v="r1"/>
    <m/>
    <s v="b1"/>
    <s v="b2"/>
    <s v="b4"/>
    <m/>
    <b v="0"/>
    <m/>
    <n v="1"/>
    <n v="2"/>
    <x v="1"/>
    <n v="1"/>
    <n v="2"/>
    <n v="0"/>
    <n v="2"/>
    <x v="4"/>
    <x v="2"/>
    <s v="Y"/>
    <s v="Y"/>
    <m/>
    <m/>
    <m/>
    <m/>
    <m/>
    <m/>
    <m/>
    <m/>
    <m/>
    <m/>
    <n v="11"/>
    <n v="11"/>
    <n v="4"/>
    <n v="4"/>
    <n v="4"/>
    <n v="4"/>
    <n v="0"/>
    <n v="0"/>
    <n v="0"/>
  </r>
  <r>
    <s v="2_7_1BWH2"/>
    <x v="0"/>
    <x v="1"/>
    <s v="b4"/>
    <s v="b4"/>
    <s v="B"/>
    <s v="r1"/>
    <m/>
    <s v="b1"/>
    <s v="b2"/>
    <s v="b4"/>
    <s v="b4"/>
    <b v="0"/>
    <m/>
    <n v="2"/>
    <n v="2"/>
    <x v="1"/>
    <n v="2"/>
    <n v="2"/>
    <n v="0"/>
    <n v="2"/>
    <x v="7"/>
    <x v="2"/>
    <s v="Y"/>
    <s v="Y"/>
    <m/>
    <m/>
    <m/>
    <m/>
    <m/>
    <m/>
    <m/>
    <m/>
    <m/>
    <m/>
    <n v="111"/>
    <n v="11"/>
    <n v="7"/>
    <n v="4"/>
    <n v="7"/>
    <n v="4"/>
    <n v="0"/>
    <n v="0"/>
    <n v="0"/>
  </r>
  <r>
    <s v="0_0_2B"/>
    <x v="1"/>
    <x v="0"/>
    <m/>
    <m/>
    <m/>
    <s v="B"/>
    <m/>
    <s v="b2"/>
    <m/>
    <m/>
    <m/>
    <b v="0"/>
    <m/>
    <n v="0"/>
    <n v="0"/>
    <x v="4"/>
    <n v="0"/>
    <n v="0"/>
    <n v="0"/>
    <n v="0"/>
    <x v="0"/>
    <x v="3"/>
    <s v="Y"/>
    <s v="Y"/>
    <m/>
    <m/>
    <m/>
    <m/>
    <m/>
    <m/>
    <m/>
    <m/>
    <m/>
    <m/>
    <n v="0"/>
    <n v="10"/>
    <n v="0"/>
    <n v="2"/>
    <n v="0"/>
    <n v="2"/>
    <n v="0"/>
    <n v="0"/>
    <n v="0"/>
  </r>
  <r>
    <s v="0_1_2B"/>
    <x v="1"/>
    <x v="2"/>
    <m/>
    <m/>
    <m/>
    <s v="B"/>
    <s v="r1"/>
    <s v="b2"/>
    <s v="b3"/>
    <m/>
    <m/>
    <b v="0"/>
    <m/>
    <n v="0"/>
    <n v="0"/>
    <x v="5"/>
    <n v="0"/>
    <n v="0"/>
    <n v="0"/>
    <n v="0"/>
    <x v="1"/>
    <x v="3"/>
    <s v="Y"/>
    <s v="Y"/>
    <m/>
    <m/>
    <m/>
    <m/>
    <m/>
    <m/>
    <m/>
    <m/>
    <m/>
    <m/>
    <n v="1"/>
    <n v="110"/>
    <n v="1"/>
    <n v="6"/>
    <n v="1"/>
    <n v="6"/>
    <n v="0"/>
    <n v="0"/>
    <n v="0"/>
  </r>
  <r>
    <s v="0_2_2B"/>
    <x v="1"/>
    <x v="0"/>
    <s v="b4"/>
    <m/>
    <m/>
    <s v="B"/>
    <m/>
    <s v="b2"/>
    <m/>
    <s v="b4"/>
    <m/>
    <b v="0"/>
    <m/>
    <n v="1"/>
    <n v="0"/>
    <x v="4"/>
    <n v="1"/>
    <n v="0"/>
    <n v="0"/>
    <n v="0"/>
    <x v="2"/>
    <x v="3"/>
    <s v="Y"/>
    <s v="Y"/>
    <m/>
    <m/>
    <m/>
    <m/>
    <m/>
    <m/>
    <m/>
    <m/>
    <m/>
    <m/>
    <n v="10"/>
    <n v="10"/>
    <n v="2"/>
    <n v="2"/>
    <n v="2"/>
    <n v="2"/>
    <n v="0"/>
    <n v="0"/>
    <n v="0"/>
  </r>
  <r>
    <s v="0_3_2B"/>
    <x v="1"/>
    <x v="0"/>
    <m/>
    <s v="b4"/>
    <m/>
    <s v="B"/>
    <m/>
    <s v="b2"/>
    <m/>
    <m/>
    <s v="b4"/>
    <b v="0"/>
    <m/>
    <n v="1"/>
    <n v="0"/>
    <x v="4"/>
    <n v="1"/>
    <n v="0"/>
    <n v="0"/>
    <n v="0"/>
    <x v="3"/>
    <x v="3"/>
    <s v="Y"/>
    <s v="Y"/>
    <m/>
    <m/>
    <m/>
    <m/>
    <m/>
    <m/>
    <m/>
    <m/>
    <m/>
    <m/>
    <n v="100"/>
    <n v="10"/>
    <n v="3"/>
    <n v="2"/>
    <n v="3"/>
    <n v="2"/>
    <n v="0"/>
    <n v="0"/>
    <n v="0"/>
  </r>
  <r>
    <s v="0_4_2B"/>
    <x v="1"/>
    <x v="2"/>
    <s v="b4"/>
    <m/>
    <m/>
    <s v="B"/>
    <s v="r1"/>
    <s v="b2"/>
    <s v="b3"/>
    <s v="b4"/>
    <m/>
    <b v="0"/>
    <m/>
    <n v="1"/>
    <n v="0"/>
    <x v="5"/>
    <n v="1"/>
    <n v="0"/>
    <n v="0"/>
    <n v="0"/>
    <x v="4"/>
    <x v="3"/>
    <s v="Y"/>
    <s v="Y"/>
    <m/>
    <m/>
    <m/>
    <m/>
    <m/>
    <m/>
    <m/>
    <m/>
    <m/>
    <m/>
    <n v="11"/>
    <n v="110"/>
    <n v="4"/>
    <n v="6"/>
    <n v="4"/>
    <n v="6"/>
    <n v="0"/>
    <n v="0"/>
    <n v="0"/>
  </r>
  <r>
    <s v="0_5_2B"/>
    <x v="1"/>
    <x v="2"/>
    <m/>
    <s v="b4"/>
    <m/>
    <s v="B"/>
    <s v="r1"/>
    <s v="b2"/>
    <s v="b3"/>
    <m/>
    <s v="b4"/>
    <b v="0"/>
    <m/>
    <n v="1"/>
    <n v="0"/>
    <x v="5"/>
    <n v="1"/>
    <n v="0"/>
    <n v="0"/>
    <n v="0"/>
    <x v="5"/>
    <x v="3"/>
    <s v="Y"/>
    <s v="Y"/>
    <m/>
    <m/>
    <m/>
    <m/>
    <m/>
    <m/>
    <m/>
    <m/>
    <m/>
    <m/>
    <n v="101"/>
    <n v="110"/>
    <n v="5"/>
    <n v="6"/>
    <n v="5"/>
    <n v="6"/>
    <n v="0"/>
    <n v="0"/>
    <n v="0"/>
  </r>
  <r>
    <s v="0_6_2B"/>
    <x v="1"/>
    <x v="0"/>
    <s v="b4"/>
    <s v="b4"/>
    <m/>
    <s v="B"/>
    <m/>
    <s v="b2"/>
    <m/>
    <s v="b4"/>
    <s v="b4"/>
    <b v="0"/>
    <m/>
    <n v="2"/>
    <n v="0"/>
    <x v="4"/>
    <n v="2"/>
    <n v="0"/>
    <n v="0"/>
    <n v="0"/>
    <x v="6"/>
    <x v="3"/>
    <s v="Y"/>
    <s v="Y"/>
    <m/>
    <m/>
    <m/>
    <m/>
    <m/>
    <m/>
    <m/>
    <m/>
    <m/>
    <m/>
    <n v="110"/>
    <n v="10"/>
    <n v="6"/>
    <n v="2"/>
    <n v="6"/>
    <n v="2"/>
    <n v="0"/>
    <n v="0"/>
    <n v="0"/>
  </r>
  <r>
    <s v="0_7_2B"/>
    <x v="1"/>
    <x v="2"/>
    <s v="b4"/>
    <s v="b4"/>
    <m/>
    <s v="B"/>
    <s v="r1"/>
    <s v="b2"/>
    <s v="b3"/>
    <s v="b4"/>
    <s v="b4"/>
    <b v="0"/>
    <m/>
    <n v="2"/>
    <n v="0"/>
    <x v="5"/>
    <n v="2"/>
    <n v="0"/>
    <n v="0"/>
    <n v="0"/>
    <x v="7"/>
    <x v="3"/>
    <s v="Y"/>
    <s v="Y"/>
    <m/>
    <m/>
    <m/>
    <m/>
    <m/>
    <m/>
    <m/>
    <m/>
    <m/>
    <m/>
    <n v="111"/>
    <n v="110"/>
    <n v="7"/>
    <n v="6"/>
    <n v="7"/>
    <n v="6"/>
    <n v="0"/>
    <n v="0"/>
    <n v="0"/>
  </r>
  <r>
    <s v="1_0_2B"/>
    <x v="1"/>
    <x v="0"/>
    <m/>
    <m/>
    <m/>
    <s v="B"/>
    <m/>
    <s v="b2"/>
    <m/>
    <m/>
    <m/>
    <b v="0"/>
    <m/>
    <n v="0"/>
    <n v="1"/>
    <x v="4"/>
    <n v="0"/>
    <n v="1"/>
    <n v="0"/>
    <n v="1"/>
    <x v="0"/>
    <x v="3"/>
    <s v="Y"/>
    <s v="Y"/>
    <m/>
    <m/>
    <m/>
    <m/>
    <m/>
    <m/>
    <m/>
    <m/>
    <m/>
    <m/>
    <n v="0"/>
    <n v="10"/>
    <n v="0"/>
    <n v="2"/>
    <n v="0"/>
    <n v="2"/>
    <n v="0"/>
    <n v="0"/>
    <n v="0"/>
  </r>
  <r>
    <s v="1_1_2B"/>
    <x v="1"/>
    <x v="2"/>
    <m/>
    <m/>
    <m/>
    <s v="B"/>
    <s v="r1"/>
    <s v="b2"/>
    <s v="b3"/>
    <m/>
    <m/>
    <b v="0"/>
    <m/>
    <n v="0"/>
    <n v="1"/>
    <x v="5"/>
    <n v="0"/>
    <n v="1"/>
    <n v="0"/>
    <n v="1"/>
    <x v="1"/>
    <x v="3"/>
    <s v="Y"/>
    <s v="Y"/>
    <m/>
    <m/>
    <m/>
    <m/>
    <m/>
    <m/>
    <m/>
    <m/>
    <m/>
    <m/>
    <n v="1"/>
    <n v="110"/>
    <n v="1"/>
    <n v="6"/>
    <n v="1"/>
    <n v="6"/>
    <n v="0"/>
    <n v="0"/>
    <n v="0"/>
  </r>
  <r>
    <s v="1_2_2B"/>
    <x v="1"/>
    <x v="0"/>
    <s v="b4"/>
    <m/>
    <m/>
    <s v="B"/>
    <m/>
    <s v="b2"/>
    <m/>
    <s v="b4"/>
    <m/>
    <b v="0"/>
    <m/>
    <n v="1"/>
    <n v="1"/>
    <x v="4"/>
    <n v="1"/>
    <n v="1"/>
    <n v="0"/>
    <n v="1"/>
    <x v="2"/>
    <x v="3"/>
    <s v="Y"/>
    <s v="Y"/>
    <m/>
    <m/>
    <m/>
    <m/>
    <m/>
    <m/>
    <m/>
    <m/>
    <m/>
    <m/>
    <n v="10"/>
    <n v="10"/>
    <n v="2"/>
    <n v="2"/>
    <n v="2"/>
    <n v="2"/>
    <n v="0"/>
    <n v="0"/>
    <n v="0"/>
  </r>
  <r>
    <s v="1_3_2B"/>
    <x v="1"/>
    <x v="0"/>
    <m/>
    <s v="b4"/>
    <m/>
    <s v="B"/>
    <m/>
    <s v="b2"/>
    <m/>
    <m/>
    <s v="b4"/>
    <b v="0"/>
    <m/>
    <n v="1"/>
    <n v="1"/>
    <x v="4"/>
    <n v="1"/>
    <n v="1"/>
    <n v="0"/>
    <n v="1"/>
    <x v="3"/>
    <x v="3"/>
    <s v="Y"/>
    <s v="Y"/>
    <m/>
    <m/>
    <m/>
    <m/>
    <m/>
    <m/>
    <m/>
    <m/>
    <m/>
    <m/>
    <n v="100"/>
    <n v="10"/>
    <n v="3"/>
    <n v="2"/>
    <n v="3"/>
    <n v="2"/>
    <n v="0"/>
    <n v="0"/>
    <n v="0"/>
  </r>
  <r>
    <s v="1_4_2B"/>
    <x v="1"/>
    <x v="2"/>
    <s v="b4"/>
    <m/>
    <m/>
    <s v="B"/>
    <s v="r1"/>
    <s v="b2"/>
    <s v="b3"/>
    <s v="b4"/>
    <m/>
    <b v="0"/>
    <m/>
    <n v="1"/>
    <n v="1"/>
    <x v="5"/>
    <n v="1"/>
    <n v="1"/>
    <n v="0"/>
    <n v="1"/>
    <x v="4"/>
    <x v="3"/>
    <s v="Y"/>
    <s v="Y"/>
    <m/>
    <m/>
    <m/>
    <m/>
    <m/>
    <m/>
    <m/>
    <m/>
    <m/>
    <m/>
    <n v="11"/>
    <n v="110"/>
    <n v="4"/>
    <n v="6"/>
    <n v="4"/>
    <n v="6"/>
    <n v="0"/>
    <n v="0"/>
    <n v="0"/>
  </r>
  <r>
    <s v="1_5_2B"/>
    <x v="1"/>
    <x v="2"/>
    <m/>
    <s v="b4"/>
    <m/>
    <s v="B"/>
    <s v="r1"/>
    <s v="b2"/>
    <s v="b3"/>
    <m/>
    <s v="b4"/>
    <b v="0"/>
    <m/>
    <n v="1"/>
    <n v="1"/>
    <x v="5"/>
    <n v="1"/>
    <n v="1"/>
    <n v="0"/>
    <n v="1"/>
    <x v="5"/>
    <x v="3"/>
    <s v="Y"/>
    <s v="Y"/>
    <m/>
    <m/>
    <m/>
    <m/>
    <m/>
    <m/>
    <m/>
    <m/>
    <m/>
    <m/>
    <n v="101"/>
    <n v="110"/>
    <n v="5"/>
    <n v="6"/>
    <n v="5"/>
    <n v="6"/>
    <n v="0"/>
    <n v="0"/>
    <n v="0"/>
  </r>
  <r>
    <s v="1_6_2B"/>
    <x v="1"/>
    <x v="0"/>
    <s v="b4"/>
    <s v="b4"/>
    <m/>
    <s v="B"/>
    <m/>
    <s v="b2"/>
    <m/>
    <s v="b4"/>
    <s v="b4"/>
    <b v="0"/>
    <m/>
    <n v="2"/>
    <n v="1"/>
    <x v="4"/>
    <n v="2"/>
    <n v="1"/>
    <n v="0"/>
    <n v="1"/>
    <x v="6"/>
    <x v="3"/>
    <s v="Y"/>
    <s v="Y"/>
    <m/>
    <m/>
    <m/>
    <m/>
    <m/>
    <m/>
    <m/>
    <m/>
    <m/>
    <m/>
    <n v="110"/>
    <n v="10"/>
    <n v="6"/>
    <n v="2"/>
    <n v="6"/>
    <n v="2"/>
    <n v="0"/>
    <n v="0"/>
    <n v="0"/>
  </r>
  <r>
    <s v="1_7_2B"/>
    <x v="1"/>
    <x v="2"/>
    <s v="b4"/>
    <s v="b4"/>
    <m/>
    <s v="B"/>
    <s v="r1"/>
    <s v="b2"/>
    <s v="b3"/>
    <s v="b4"/>
    <s v="b4"/>
    <b v="0"/>
    <m/>
    <n v="2"/>
    <n v="1"/>
    <x v="5"/>
    <n v="2"/>
    <n v="1"/>
    <n v="0"/>
    <n v="1"/>
    <x v="7"/>
    <x v="3"/>
    <s v="Y"/>
    <s v="Y"/>
    <m/>
    <m/>
    <m/>
    <m/>
    <m/>
    <m/>
    <m/>
    <m/>
    <m/>
    <m/>
    <n v="111"/>
    <n v="110"/>
    <n v="7"/>
    <n v="6"/>
    <n v="7"/>
    <n v="6"/>
    <n v="0"/>
    <n v="0"/>
    <n v="0"/>
  </r>
  <r>
    <s v="2_0_2B"/>
    <x v="1"/>
    <x v="0"/>
    <m/>
    <m/>
    <m/>
    <s v="B"/>
    <m/>
    <s v="b2"/>
    <m/>
    <m/>
    <m/>
    <b v="0"/>
    <m/>
    <n v="0"/>
    <n v="2"/>
    <x v="4"/>
    <n v="0"/>
    <n v="2"/>
    <n v="0"/>
    <n v="2"/>
    <x v="0"/>
    <x v="3"/>
    <s v="Y"/>
    <s v="Y"/>
    <m/>
    <m/>
    <m/>
    <m/>
    <m/>
    <m/>
    <m/>
    <m/>
    <m/>
    <m/>
    <n v="0"/>
    <n v="10"/>
    <n v="0"/>
    <n v="2"/>
    <n v="0"/>
    <n v="2"/>
    <n v="0"/>
    <n v="0"/>
    <n v="0"/>
  </r>
  <r>
    <s v="2_1_2B"/>
    <x v="1"/>
    <x v="2"/>
    <m/>
    <m/>
    <m/>
    <s v="B"/>
    <s v="r1"/>
    <s v="b2"/>
    <s v="b3"/>
    <m/>
    <m/>
    <b v="0"/>
    <m/>
    <n v="0"/>
    <n v="2"/>
    <x v="5"/>
    <n v="0"/>
    <n v="2"/>
    <n v="0"/>
    <n v="2"/>
    <x v="1"/>
    <x v="3"/>
    <s v="Y"/>
    <s v="Y"/>
    <m/>
    <m/>
    <m/>
    <m/>
    <m/>
    <m/>
    <m/>
    <m/>
    <m/>
    <m/>
    <n v="1"/>
    <n v="110"/>
    <n v="1"/>
    <n v="6"/>
    <n v="1"/>
    <n v="6"/>
    <n v="0"/>
    <n v="0"/>
    <n v="0"/>
  </r>
  <r>
    <s v="2_2_2B"/>
    <x v="1"/>
    <x v="0"/>
    <s v="b4"/>
    <m/>
    <m/>
    <s v="B"/>
    <m/>
    <s v="b2"/>
    <m/>
    <s v="b4"/>
    <m/>
    <b v="0"/>
    <m/>
    <n v="1"/>
    <n v="2"/>
    <x v="4"/>
    <n v="1"/>
    <n v="2"/>
    <n v="0"/>
    <n v="2"/>
    <x v="2"/>
    <x v="3"/>
    <s v="Y"/>
    <s v="Y"/>
    <m/>
    <m/>
    <m/>
    <m/>
    <m/>
    <m/>
    <m/>
    <m/>
    <m/>
    <m/>
    <n v="10"/>
    <n v="10"/>
    <n v="2"/>
    <n v="2"/>
    <n v="2"/>
    <n v="2"/>
    <n v="0"/>
    <n v="0"/>
    <n v="0"/>
  </r>
  <r>
    <s v="2_3_2B"/>
    <x v="1"/>
    <x v="0"/>
    <m/>
    <s v="b4"/>
    <m/>
    <s v="B"/>
    <m/>
    <s v="b2"/>
    <m/>
    <m/>
    <s v="b4"/>
    <b v="0"/>
    <m/>
    <n v="1"/>
    <n v="2"/>
    <x v="4"/>
    <n v="1"/>
    <n v="2"/>
    <n v="0"/>
    <n v="2"/>
    <x v="3"/>
    <x v="3"/>
    <s v="Y"/>
    <s v="Y"/>
    <m/>
    <m/>
    <m/>
    <m/>
    <m/>
    <m/>
    <m/>
    <m/>
    <m/>
    <m/>
    <n v="100"/>
    <n v="10"/>
    <n v="3"/>
    <n v="2"/>
    <n v="3"/>
    <n v="2"/>
    <n v="0"/>
    <n v="0"/>
    <n v="0"/>
  </r>
  <r>
    <s v="2_4_2B"/>
    <x v="1"/>
    <x v="2"/>
    <s v="b4"/>
    <m/>
    <m/>
    <s v="B"/>
    <s v="r1"/>
    <s v="b2"/>
    <s v="b3"/>
    <s v="b4"/>
    <m/>
    <b v="0"/>
    <m/>
    <n v="1"/>
    <n v="2"/>
    <x v="5"/>
    <n v="1"/>
    <n v="2"/>
    <n v="0"/>
    <n v="2"/>
    <x v="4"/>
    <x v="3"/>
    <s v="Y"/>
    <s v="Y"/>
    <m/>
    <m/>
    <m/>
    <m/>
    <m/>
    <m/>
    <m/>
    <m/>
    <m/>
    <m/>
    <n v="11"/>
    <n v="110"/>
    <n v="4"/>
    <n v="6"/>
    <n v="4"/>
    <n v="6"/>
    <n v="0"/>
    <n v="0"/>
    <n v="0"/>
  </r>
  <r>
    <s v="2_5_2B"/>
    <x v="1"/>
    <x v="2"/>
    <m/>
    <s v="b4"/>
    <m/>
    <s v="B"/>
    <s v="r1"/>
    <s v="b2"/>
    <s v="b3"/>
    <m/>
    <s v="b4"/>
    <b v="0"/>
    <m/>
    <n v="1"/>
    <n v="2"/>
    <x v="5"/>
    <n v="1"/>
    <n v="2"/>
    <n v="0"/>
    <n v="2"/>
    <x v="5"/>
    <x v="3"/>
    <s v="Y"/>
    <s v="Y"/>
    <m/>
    <m/>
    <m/>
    <m/>
    <m/>
    <m/>
    <m/>
    <m/>
    <m/>
    <m/>
    <n v="101"/>
    <n v="110"/>
    <n v="5"/>
    <n v="6"/>
    <n v="5"/>
    <n v="6"/>
    <n v="0"/>
    <n v="0"/>
    <n v="0"/>
  </r>
  <r>
    <s v="2_6_2B"/>
    <x v="1"/>
    <x v="0"/>
    <s v="b4"/>
    <s v="b4"/>
    <m/>
    <s v="B"/>
    <m/>
    <s v="b2"/>
    <m/>
    <s v="b4"/>
    <s v="b4"/>
    <b v="0"/>
    <m/>
    <n v="2"/>
    <n v="2"/>
    <x v="4"/>
    <n v="2"/>
    <n v="2"/>
    <n v="0"/>
    <n v="2"/>
    <x v="6"/>
    <x v="3"/>
    <s v="Y"/>
    <s v="Y"/>
    <m/>
    <m/>
    <m/>
    <m/>
    <m/>
    <m/>
    <m/>
    <m/>
    <m/>
    <m/>
    <n v="110"/>
    <n v="10"/>
    <n v="6"/>
    <n v="2"/>
    <n v="6"/>
    <n v="2"/>
    <n v="0"/>
    <n v="0"/>
    <n v="0"/>
  </r>
  <r>
    <s v="2_7_2B"/>
    <x v="1"/>
    <x v="2"/>
    <s v="b4"/>
    <s v="b4"/>
    <m/>
    <s v="B"/>
    <s v="r1"/>
    <s v="b2"/>
    <s v="b3"/>
    <s v="b4"/>
    <s v="b4"/>
    <b v="0"/>
    <m/>
    <n v="2"/>
    <n v="2"/>
    <x v="5"/>
    <n v="2"/>
    <n v="2"/>
    <n v="0"/>
    <n v="2"/>
    <x v="7"/>
    <x v="3"/>
    <s v="Y"/>
    <s v="Y"/>
    <m/>
    <m/>
    <m/>
    <m/>
    <m/>
    <m/>
    <m/>
    <m/>
    <m/>
    <m/>
    <n v="111"/>
    <n v="110"/>
    <n v="7"/>
    <n v="6"/>
    <n v="7"/>
    <n v="6"/>
    <n v="0"/>
    <n v="0"/>
    <n v="0"/>
  </r>
  <r>
    <s v="0_1_2BWH"/>
    <x v="1"/>
    <x v="3"/>
    <m/>
    <m/>
    <m/>
    <s v="B"/>
    <m/>
    <s v="b2"/>
    <s v="b4"/>
    <m/>
    <m/>
    <b v="0"/>
    <m/>
    <n v="1"/>
    <n v="0"/>
    <x v="4"/>
    <n v="1"/>
    <n v="0"/>
    <n v="0"/>
    <n v="0"/>
    <x v="1"/>
    <x v="4"/>
    <s v="Y"/>
    <s v="Y"/>
    <m/>
    <m/>
    <m/>
    <m/>
    <m/>
    <m/>
    <m/>
    <m/>
    <m/>
    <m/>
    <n v="1"/>
    <n v="10"/>
    <n v="1"/>
    <n v="2"/>
    <n v="1"/>
    <n v="2"/>
    <n v="0"/>
    <n v="0"/>
    <n v="0"/>
  </r>
  <r>
    <s v="0_4_2BWH"/>
    <x v="1"/>
    <x v="3"/>
    <s v="b4"/>
    <m/>
    <m/>
    <s v="B"/>
    <m/>
    <s v="b2"/>
    <s v="b4"/>
    <s v="b4"/>
    <m/>
    <b v="0"/>
    <m/>
    <n v="2"/>
    <n v="0"/>
    <x v="4"/>
    <n v="2"/>
    <n v="0"/>
    <n v="0"/>
    <n v="0"/>
    <x v="4"/>
    <x v="4"/>
    <s v="Y"/>
    <s v="Y"/>
    <m/>
    <m/>
    <m/>
    <m/>
    <m/>
    <m/>
    <m/>
    <m/>
    <m/>
    <m/>
    <n v="11"/>
    <n v="10"/>
    <n v="4"/>
    <n v="2"/>
    <n v="4"/>
    <n v="2"/>
    <n v="0"/>
    <n v="0"/>
    <n v="0"/>
  </r>
  <r>
    <s v="0_5_2BWH"/>
    <x v="1"/>
    <x v="3"/>
    <m/>
    <s v="b4"/>
    <m/>
    <s v="B"/>
    <m/>
    <s v="b2"/>
    <s v="b4"/>
    <m/>
    <s v="b4"/>
    <b v="0"/>
    <m/>
    <n v="2"/>
    <n v="0"/>
    <x v="4"/>
    <n v="2"/>
    <n v="0"/>
    <n v="0"/>
    <n v="0"/>
    <x v="5"/>
    <x v="4"/>
    <s v="Y"/>
    <s v="Y"/>
    <m/>
    <m/>
    <m/>
    <m/>
    <m/>
    <m/>
    <m/>
    <m/>
    <m/>
    <m/>
    <n v="101"/>
    <n v="10"/>
    <n v="5"/>
    <n v="2"/>
    <n v="5"/>
    <n v="2"/>
    <n v="0"/>
    <n v="0"/>
    <n v="0"/>
  </r>
  <r>
    <s v="0_7_2BWH"/>
    <x v="1"/>
    <x v="3"/>
    <s v="b4"/>
    <s v="b4"/>
    <m/>
    <s v="B"/>
    <m/>
    <s v="b2"/>
    <s v="b4"/>
    <s v="b4"/>
    <s v="b4"/>
    <b v="0"/>
    <m/>
    <n v="3"/>
    <n v="0"/>
    <x v="4"/>
    <n v="3"/>
    <n v="0"/>
    <n v="0"/>
    <n v="0"/>
    <x v="7"/>
    <x v="4"/>
    <s v="Y"/>
    <s v="Y"/>
    <m/>
    <m/>
    <m/>
    <m/>
    <m/>
    <m/>
    <m/>
    <m/>
    <m/>
    <m/>
    <n v="111"/>
    <n v="10"/>
    <n v="7"/>
    <n v="2"/>
    <n v="7"/>
    <n v="2"/>
    <n v="0"/>
    <n v="0"/>
    <n v="0"/>
  </r>
  <r>
    <s v="1_1_2BWH"/>
    <x v="1"/>
    <x v="3"/>
    <m/>
    <m/>
    <m/>
    <s v="B"/>
    <m/>
    <s v="b2"/>
    <s v="b4"/>
    <m/>
    <m/>
    <b v="0"/>
    <m/>
    <n v="1"/>
    <n v="1"/>
    <x v="4"/>
    <n v="1"/>
    <n v="1"/>
    <n v="0"/>
    <n v="1"/>
    <x v="1"/>
    <x v="4"/>
    <s v="Y"/>
    <s v="Y"/>
    <m/>
    <m/>
    <m/>
    <m/>
    <m/>
    <m/>
    <m/>
    <m/>
    <m/>
    <m/>
    <n v="1"/>
    <n v="10"/>
    <n v="1"/>
    <n v="2"/>
    <n v="1"/>
    <n v="2"/>
    <n v="0"/>
    <n v="0"/>
    <n v="0"/>
  </r>
  <r>
    <s v="1_4_2BWH"/>
    <x v="1"/>
    <x v="3"/>
    <s v="b4"/>
    <m/>
    <m/>
    <s v="B"/>
    <m/>
    <s v="b2"/>
    <s v="b4"/>
    <s v="b4"/>
    <m/>
    <b v="0"/>
    <m/>
    <n v="2"/>
    <n v="1"/>
    <x v="4"/>
    <n v="2"/>
    <n v="1"/>
    <n v="0"/>
    <n v="1"/>
    <x v="4"/>
    <x v="4"/>
    <s v="Y"/>
    <s v="Y"/>
    <m/>
    <m/>
    <m/>
    <m/>
    <m/>
    <m/>
    <m/>
    <m/>
    <m/>
    <m/>
    <n v="11"/>
    <n v="10"/>
    <n v="4"/>
    <n v="2"/>
    <n v="4"/>
    <n v="2"/>
    <n v="0"/>
    <n v="0"/>
    <n v="0"/>
  </r>
  <r>
    <s v="1_5_2BWH"/>
    <x v="1"/>
    <x v="3"/>
    <m/>
    <s v="b4"/>
    <m/>
    <s v="B"/>
    <m/>
    <s v="b2"/>
    <s v="b4"/>
    <m/>
    <s v="b4"/>
    <b v="0"/>
    <m/>
    <n v="2"/>
    <n v="1"/>
    <x v="4"/>
    <n v="2"/>
    <n v="1"/>
    <n v="0"/>
    <n v="1"/>
    <x v="5"/>
    <x v="4"/>
    <s v="Y"/>
    <s v="Y"/>
    <m/>
    <m/>
    <m/>
    <m/>
    <m/>
    <m/>
    <m/>
    <m/>
    <m/>
    <m/>
    <n v="101"/>
    <n v="10"/>
    <n v="5"/>
    <n v="2"/>
    <n v="5"/>
    <n v="2"/>
    <n v="0"/>
    <n v="0"/>
    <n v="0"/>
  </r>
  <r>
    <s v="1_7_2BWH"/>
    <x v="1"/>
    <x v="3"/>
    <s v="b4"/>
    <s v="b4"/>
    <m/>
    <s v="B"/>
    <m/>
    <s v="b2"/>
    <s v="b4"/>
    <s v="b4"/>
    <s v="b4"/>
    <b v="0"/>
    <m/>
    <n v="3"/>
    <n v="1"/>
    <x v="4"/>
    <n v="3"/>
    <n v="1"/>
    <n v="0"/>
    <n v="1"/>
    <x v="7"/>
    <x v="4"/>
    <s v="Y"/>
    <s v="Y"/>
    <m/>
    <m/>
    <m/>
    <m/>
    <m/>
    <m/>
    <m/>
    <m/>
    <m/>
    <m/>
    <n v="111"/>
    <n v="10"/>
    <n v="7"/>
    <n v="2"/>
    <n v="7"/>
    <n v="2"/>
    <n v="0"/>
    <n v="0"/>
    <n v="0"/>
  </r>
  <r>
    <s v="2_1_2BWH"/>
    <x v="1"/>
    <x v="3"/>
    <m/>
    <m/>
    <m/>
    <s v="B"/>
    <m/>
    <s v="b2"/>
    <s v="b4"/>
    <m/>
    <m/>
    <b v="0"/>
    <m/>
    <n v="1"/>
    <n v="2"/>
    <x v="4"/>
    <n v="1"/>
    <n v="2"/>
    <n v="0"/>
    <n v="2"/>
    <x v="1"/>
    <x v="4"/>
    <s v="Y"/>
    <s v="Y"/>
    <m/>
    <m/>
    <m/>
    <m/>
    <m/>
    <m/>
    <m/>
    <m/>
    <m/>
    <m/>
    <n v="1"/>
    <n v="10"/>
    <n v="1"/>
    <n v="2"/>
    <n v="1"/>
    <n v="2"/>
    <n v="0"/>
    <n v="0"/>
    <n v="0"/>
  </r>
  <r>
    <s v="2_4_2BWH"/>
    <x v="1"/>
    <x v="3"/>
    <s v="b4"/>
    <m/>
    <m/>
    <s v="B"/>
    <m/>
    <s v="b2"/>
    <s v="b4"/>
    <s v="b4"/>
    <m/>
    <b v="0"/>
    <m/>
    <n v="2"/>
    <n v="2"/>
    <x v="4"/>
    <n v="2"/>
    <n v="2"/>
    <n v="0"/>
    <n v="2"/>
    <x v="4"/>
    <x v="4"/>
    <s v="Y"/>
    <s v="Y"/>
    <m/>
    <m/>
    <m/>
    <m/>
    <m/>
    <m/>
    <m/>
    <m/>
    <m/>
    <m/>
    <n v="11"/>
    <n v="10"/>
    <n v="4"/>
    <n v="2"/>
    <n v="4"/>
    <n v="2"/>
    <n v="0"/>
    <n v="0"/>
    <n v="0"/>
  </r>
  <r>
    <s v="2_5_2BWH"/>
    <x v="1"/>
    <x v="3"/>
    <m/>
    <s v="b4"/>
    <m/>
    <s v="B"/>
    <m/>
    <s v="b2"/>
    <s v="b4"/>
    <m/>
    <s v="b4"/>
    <b v="0"/>
    <m/>
    <n v="2"/>
    <n v="2"/>
    <x v="4"/>
    <n v="2"/>
    <n v="2"/>
    <n v="0"/>
    <n v="2"/>
    <x v="5"/>
    <x v="4"/>
    <s v="Y"/>
    <s v="Y"/>
    <m/>
    <m/>
    <m/>
    <m/>
    <m/>
    <m/>
    <m/>
    <m/>
    <m/>
    <m/>
    <n v="101"/>
    <n v="10"/>
    <n v="5"/>
    <n v="2"/>
    <n v="5"/>
    <n v="2"/>
    <n v="0"/>
    <n v="0"/>
    <n v="0"/>
  </r>
  <r>
    <s v="2_7_2BWH"/>
    <x v="1"/>
    <x v="3"/>
    <s v="b4"/>
    <s v="b4"/>
    <m/>
    <s v="B"/>
    <m/>
    <s v="b2"/>
    <s v="b4"/>
    <s v="b4"/>
    <s v="b4"/>
    <b v="0"/>
    <m/>
    <n v="3"/>
    <n v="2"/>
    <x v="4"/>
    <n v="3"/>
    <n v="2"/>
    <n v="0"/>
    <n v="2"/>
    <x v="7"/>
    <x v="4"/>
    <s v="Y"/>
    <s v="Y"/>
    <m/>
    <m/>
    <m/>
    <m/>
    <m/>
    <m/>
    <m/>
    <m/>
    <m/>
    <m/>
    <n v="111"/>
    <n v="10"/>
    <n v="7"/>
    <n v="2"/>
    <n v="7"/>
    <n v="2"/>
    <n v="0"/>
    <n v="0"/>
    <n v="0"/>
  </r>
  <r>
    <s v="0_0_3B"/>
    <x v="2"/>
    <x v="0"/>
    <m/>
    <m/>
    <m/>
    <m/>
    <s v="B"/>
    <s v="b3"/>
    <m/>
    <m/>
    <m/>
    <b v="0"/>
    <m/>
    <n v="0"/>
    <n v="0"/>
    <x v="6"/>
    <n v="0"/>
    <n v="0"/>
    <n v="0"/>
    <n v="0"/>
    <x v="0"/>
    <x v="5"/>
    <s v="Y"/>
    <s v="Y"/>
    <m/>
    <m/>
    <m/>
    <m/>
    <m/>
    <m/>
    <m/>
    <m/>
    <m/>
    <m/>
    <n v="0"/>
    <n v="100"/>
    <n v="0"/>
    <n v="3"/>
    <n v="0"/>
    <n v="3"/>
    <n v="0"/>
    <n v="0"/>
    <n v="0"/>
  </r>
  <r>
    <s v="0_1_3B"/>
    <x v="2"/>
    <x v="3"/>
    <m/>
    <m/>
    <m/>
    <m/>
    <s v="B"/>
    <s v="b3"/>
    <s v="b4"/>
    <m/>
    <m/>
    <b v="0"/>
    <m/>
    <n v="1"/>
    <n v="0"/>
    <x v="6"/>
    <n v="1"/>
    <n v="0"/>
    <n v="0"/>
    <n v="0"/>
    <x v="1"/>
    <x v="5"/>
    <s v="Y"/>
    <s v="Y"/>
    <m/>
    <m/>
    <m/>
    <m/>
    <m/>
    <m/>
    <m/>
    <m/>
    <m/>
    <m/>
    <n v="1"/>
    <n v="100"/>
    <n v="1"/>
    <n v="3"/>
    <n v="1"/>
    <n v="3"/>
    <n v="0"/>
    <n v="0"/>
    <n v="0"/>
  </r>
  <r>
    <s v="0_2_3B"/>
    <x v="2"/>
    <x v="0"/>
    <s v="b4"/>
    <m/>
    <m/>
    <m/>
    <s v="B"/>
    <s v="b3"/>
    <m/>
    <s v="b4"/>
    <m/>
    <b v="0"/>
    <m/>
    <n v="1"/>
    <n v="0"/>
    <x v="6"/>
    <n v="1"/>
    <n v="0"/>
    <n v="0"/>
    <n v="0"/>
    <x v="2"/>
    <x v="5"/>
    <s v="Y"/>
    <s v="Y"/>
    <m/>
    <m/>
    <m/>
    <m/>
    <m/>
    <m/>
    <m/>
    <m/>
    <m/>
    <m/>
    <n v="10"/>
    <n v="100"/>
    <n v="2"/>
    <n v="3"/>
    <n v="2"/>
    <n v="3"/>
    <n v="0"/>
    <n v="0"/>
    <n v="0"/>
  </r>
  <r>
    <s v="0_3_3B"/>
    <x v="2"/>
    <x v="0"/>
    <m/>
    <s v="b4"/>
    <m/>
    <m/>
    <s v="B"/>
    <s v="b3"/>
    <m/>
    <m/>
    <s v="b4"/>
    <b v="0"/>
    <m/>
    <n v="1"/>
    <n v="0"/>
    <x v="6"/>
    <n v="1"/>
    <n v="0"/>
    <n v="0"/>
    <n v="0"/>
    <x v="3"/>
    <x v="5"/>
    <s v="Y"/>
    <s v="Y"/>
    <m/>
    <m/>
    <m/>
    <m/>
    <m/>
    <m/>
    <m/>
    <m/>
    <m/>
    <m/>
    <n v="100"/>
    <n v="100"/>
    <n v="3"/>
    <n v="3"/>
    <n v="3"/>
    <n v="3"/>
    <n v="0"/>
    <n v="0"/>
    <n v="0"/>
  </r>
  <r>
    <s v="0_4_3B"/>
    <x v="2"/>
    <x v="3"/>
    <s v="b4"/>
    <m/>
    <m/>
    <m/>
    <s v="B"/>
    <s v="b3"/>
    <s v="b4"/>
    <s v="b4"/>
    <m/>
    <b v="0"/>
    <m/>
    <n v="2"/>
    <n v="0"/>
    <x v="6"/>
    <n v="2"/>
    <n v="0"/>
    <n v="0"/>
    <n v="0"/>
    <x v="4"/>
    <x v="5"/>
    <s v="Y"/>
    <s v="Y"/>
    <m/>
    <m/>
    <m/>
    <m/>
    <m/>
    <m/>
    <m/>
    <m/>
    <m/>
    <m/>
    <n v="11"/>
    <n v="100"/>
    <n v="4"/>
    <n v="3"/>
    <n v="4"/>
    <n v="3"/>
    <n v="0"/>
    <n v="0"/>
    <n v="0"/>
  </r>
  <r>
    <s v="0_5_3B"/>
    <x v="2"/>
    <x v="3"/>
    <m/>
    <s v="b4"/>
    <m/>
    <m/>
    <s v="B"/>
    <s v="b3"/>
    <s v="b4"/>
    <m/>
    <s v="b4"/>
    <b v="0"/>
    <m/>
    <n v="2"/>
    <n v="0"/>
    <x v="6"/>
    <n v="2"/>
    <n v="0"/>
    <n v="0"/>
    <n v="0"/>
    <x v="5"/>
    <x v="5"/>
    <s v="Y"/>
    <s v="Y"/>
    <m/>
    <m/>
    <m/>
    <m/>
    <m/>
    <m/>
    <m/>
    <m/>
    <m/>
    <m/>
    <n v="101"/>
    <n v="100"/>
    <n v="5"/>
    <n v="3"/>
    <n v="5"/>
    <n v="3"/>
    <n v="0"/>
    <n v="0"/>
    <n v="0"/>
  </r>
  <r>
    <s v="0_6_3B"/>
    <x v="2"/>
    <x v="0"/>
    <s v="b4"/>
    <s v="b4"/>
    <m/>
    <m/>
    <s v="B"/>
    <s v="b3"/>
    <m/>
    <s v="b4"/>
    <s v="b4"/>
    <b v="0"/>
    <m/>
    <n v="2"/>
    <n v="0"/>
    <x v="6"/>
    <n v="2"/>
    <n v="0"/>
    <n v="0"/>
    <n v="0"/>
    <x v="6"/>
    <x v="5"/>
    <s v="Y"/>
    <s v="Y"/>
    <m/>
    <m/>
    <m/>
    <m/>
    <m/>
    <m/>
    <m/>
    <m/>
    <m/>
    <m/>
    <n v="110"/>
    <n v="100"/>
    <n v="6"/>
    <n v="3"/>
    <n v="6"/>
    <n v="3"/>
    <n v="0"/>
    <n v="0"/>
    <n v="0"/>
  </r>
  <r>
    <s v="0_7_3B"/>
    <x v="2"/>
    <x v="3"/>
    <s v="b4"/>
    <s v="b4"/>
    <m/>
    <m/>
    <s v="B"/>
    <s v="b3"/>
    <s v="b4"/>
    <s v="b4"/>
    <s v="b4"/>
    <b v="0"/>
    <m/>
    <n v="3"/>
    <n v="0"/>
    <x v="6"/>
    <n v="3"/>
    <n v="0"/>
    <n v="0"/>
    <n v="0"/>
    <x v="7"/>
    <x v="5"/>
    <s v="Y"/>
    <s v="Y"/>
    <m/>
    <m/>
    <m/>
    <m/>
    <m/>
    <m/>
    <m/>
    <m/>
    <m/>
    <m/>
    <n v="111"/>
    <n v="100"/>
    <n v="7"/>
    <n v="3"/>
    <n v="7"/>
    <n v="3"/>
    <n v="0"/>
    <n v="0"/>
    <n v="0"/>
  </r>
  <r>
    <s v="1_0_3B"/>
    <x v="2"/>
    <x v="0"/>
    <m/>
    <m/>
    <m/>
    <m/>
    <s v="B"/>
    <s v="b3"/>
    <m/>
    <m/>
    <m/>
    <b v="0"/>
    <m/>
    <n v="0"/>
    <n v="1"/>
    <x v="6"/>
    <n v="0"/>
    <n v="1"/>
    <n v="0"/>
    <n v="1"/>
    <x v="0"/>
    <x v="5"/>
    <s v="Y"/>
    <s v="Y"/>
    <m/>
    <m/>
    <m/>
    <m/>
    <m/>
    <m/>
    <m/>
    <m/>
    <m/>
    <m/>
    <n v="0"/>
    <n v="100"/>
    <n v="0"/>
    <n v="3"/>
    <n v="0"/>
    <n v="3"/>
    <n v="0"/>
    <n v="0"/>
    <n v="0"/>
  </r>
  <r>
    <s v="1_1_3B"/>
    <x v="2"/>
    <x v="3"/>
    <m/>
    <m/>
    <m/>
    <m/>
    <s v="B"/>
    <s v="b3"/>
    <s v="b4"/>
    <m/>
    <m/>
    <b v="0"/>
    <m/>
    <n v="1"/>
    <n v="1"/>
    <x v="6"/>
    <n v="1"/>
    <n v="1"/>
    <n v="0"/>
    <n v="1"/>
    <x v="1"/>
    <x v="5"/>
    <s v="Y"/>
    <s v="Y"/>
    <m/>
    <m/>
    <m/>
    <m/>
    <m/>
    <m/>
    <m/>
    <m/>
    <m/>
    <m/>
    <n v="1"/>
    <n v="100"/>
    <n v="1"/>
    <n v="3"/>
    <n v="1"/>
    <n v="3"/>
    <n v="0"/>
    <n v="0"/>
    <n v="0"/>
  </r>
  <r>
    <s v="1_2_3B"/>
    <x v="2"/>
    <x v="0"/>
    <s v="b4"/>
    <m/>
    <m/>
    <m/>
    <s v="B"/>
    <s v="b3"/>
    <m/>
    <s v="b4"/>
    <m/>
    <b v="0"/>
    <m/>
    <n v="1"/>
    <n v="1"/>
    <x v="6"/>
    <n v="1"/>
    <n v="1"/>
    <n v="0"/>
    <n v="1"/>
    <x v="2"/>
    <x v="5"/>
    <s v="Y"/>
    <s v="Y"/>
    <m/>
    <m/>
    <m/>
    <m/>
    <m/>
    <m/>
    <m/>
    <m/>
    <m/>
    <m/>
    <n v="10"/>
    <n v="100"/>
    <n v="2"/>
    <n v="3"/>
    <n v="2"/>
    <n v="3"/>
    <n v="0"/>
    <n v="0"/>
    <n v="0"/>
  </r>
  <r>
    <s v="1_3_3B"/>
    <x v="2"/>
    <x v="0"/>
    <m/>
    <s v="b4"/>
    <m/>
    <m/>
    <s v="B"/>
    <s v="b3"/>
    <m/>
    <m/>
    <s v="b4"/>
    <b v="0"/>
    <m/>
    <n v="1"/>
    <n v="1"/>
    <x v="6"/>
    <n v="1"/>
    <n v="1"/>
    <n v="0"/>
    <n v="1"/>
    <x v="3"/>
    <x v="5"/>
    <s v="Y"/>
    <s v="Y"/>
    <m/>
    <m/>
    <m/>
    <m/>
    <m/>
    <m/>
    <m/>
    <m/>
    <m/>
    <m/>
    <n v="100"/>
    <n v="100"/>
    <n v="3"/>
    <n v="3"/>
    <n v="3"/>
    <n v="3"/>
    <n v="0"/>
    <n v="0"/>
    <n v="0"/>
  </r>
  <r>
    <s v="1_4_3B"/>
    <x v="2"/>
    <x v="3"/>
    <s v="b4"/>
    <m/>
    <m/>
    <m/>
    <s v="B"/>
    <s v="b3"/>
    <s v="b4"/>
    <s v="b4"/>
    <m/>
    <b v="0"/>
    <m/>
    <n v="2"/>
    <n v="1"/>
    <x v="6"/>
    <n v="2"/>
    <n v="1"/>
    <n v="0"/>
    <n v="1"/>
    <x v="4"/>
    <x v="5"/>
    <s v="Y"/>
    <s v="Y"/>
    <m/>
    <m/>
    <m/>
    <m/>
    <m/>
    <m/>
    <m/>
    <m/>
    <m/>
    <m/>
    <n v="11"/>
    <n v="100"/>
    <n v="4"/>
    <n v="3"/>
    <n v="4"/>
    <n v="3"/>
    <n v="0"/>
    <n v="0"/>
    <n v="0"/>
  </r>
  <r>
    <s v="1_5_3B"/>
    <x v="2"/>
    <x v="3"/>
    <m/>
    <s v="b4"/>
    <m/>
    <m/>
    <s v="B"/>
    <s v="b3"/>
    <s v="b4"/>
    <m/>
    <s v="b4"/>
    <b v="0"/>
    <m/>
    <n v="2"/>
    <n v="1"/>
    <x v="6"/>
    <n v="2"/>
    <n v="1"/>
    <n v="0"/>
    <n v="1"/>
    <x v="5"/>
    <x v="5"/>
    <s v="Y"/>
    <s v="Y"/>
    <m/>
    <m/>
    <m/>
    <m/>
    <m/>
    <m/>
    <m/>
    <m/>
    <m/>
    <m/>
    <n v="101"/>
    <n v="100"/>
    <n v="5"/>
    <n v="3"/>
    <n v="5"/>
    <n v="3"/>
    <n v="0"/>
    <n v="0"/>
    <n v="0"/>
  </r>
  <r>
    <s v="1_6_3B"/>
    <x v="2"/>
    <x v="0"/>
    <s v="b4"/>
    <s v="b4"/>
    <m/>
    <m/>
    <s v="B"/>
    <s v="b3"/>
    <m/>
    <s v="b4"/>
    <s v="b4"/>
    <b v="0"/>
    <m/>
    <n v="2"/>
    <n v="1"/>
    <x v="6"/>
    <n v="2"/>
    <n v="1"/>
    <n v="0"/>
    <n v="1"/>
    <x v="6"/>
    <x v="5"/>
    <s v="Y"/>
    <s v="Y"/>
    <m/>
    <m/>
    <m/>
    <m/>
    <m/>
    <m/>
    <m/>
    <m/>
    <m/>
    <m/>
    <n v="110"/>
    <n v="100"/>
    <n v="6"/>
    <n v="3"/>
    <n v="6"/>
    <n v="3"/>
    <n v="0"/>
    <n v="0"/>
    <n v="0"/>
  </r>
  <r>
    <s v="1_7_3B"/>
    <x v="2"/>
    <x v="3"/>
    <s v="b4"/>
    <s v="b4"/>
    <m/>
    <m/>
    <s v="B"/>
    <s v="b3"/>
    <s v="b4"/>
    <s v="b4"/>
    <s v="b4"/>
    <b v="0"/>
    <m/>
    <n v="3"/>
    <n v="1"/>
    <x v="6"/>
    <n v="3"/>
    <n v="1"/>
    <n v="0"/>
    <n v="1"/>
    <x v="7"/>
    <x v="5"/>
    <s v="Y"/>
    <s v="Y"/>
    <m/>
    <m/>
    <m/>
    <m/>
    <m/>
    <m/>
    <m/>
    <m/>
    <m/>
    <m/>
    <n v="111"/>
    <n v="100"/>
    <n v="7"/>
    <n v="3"/>
    <n v="7"/>
    <n v="3"/>
    <n v="0"/>
    <n v="0"/>
    <n v="0"/>
  </r>
  <r>
    <s v="2_0_3B"/>
    <x v="2"/>
    <x v="0"/>
    <m/>
    <m/>
    <m/>
    <m/>
    <s v="B"/>
    <s v="b3"/>
    <m/>
    <m/>
    <m/>
    <b v="0"/>
    <m/>
    <n v="0"/>
    <n v="2"/>
    <x v="6"/>
    <n v="0"/>
    <n v="2"/>
    <n v="0"/>
    <n v="2"/>
    <x v="0"/>
    <x v="5"/>
    <s v="Y"/>
    <s v="Y"/>
    <m/>
    <m/>
    <m/>
    <m/>
    <m/>
    <m/>
    <m/>
    <m/>
    <m/>
    <m/>
    <n v="0"/>
    <n v="100"/>
    <n v="0"/>
    <n v="3"/>
    <n v="0"/>
    <n v="3"/>
    <n v="0"/>
    <n v="0"/>
    <n v="0"/>
  </r>
  <r>
    <s v="2_1_3B"/>
    <x v="2"/>
    <x v="3"/>
    <m/>
    <m/>
    <m/>
    <m/>
    <s v="B"/>
    <s v="b3"/>
    <s v="b4"/>
    <m/>
    <m/>
    <b v="0"/>
    <m/>
    <n v="1"/>
    <n v="2"/>
    <x v="6"/>
    <n v="1"/>
    <n v="2"/>
    <n v="0"/>
    <n v="2"/>
    <x v="1"/>
    <x v="5"/>
    <s v="Y"/>
    <s v="Y"/>
    <m/>
    <m/>
    <m/>
    <m/>
    <m/>
    <m/>
    <m/>
    <m/>
    <m/>
    <m/>
    <n v="1"/>
    <n v="100"/>
    <n v="1"/>
    <n v="3"/>
    <n v="1"/>
    <n v="3"/>
    <n v="0"/>
    <n v="0"/>
    <n v="0"/>
  </r>
  <r>
    <s v="2_2_3B"/>
    <x v="2"/>
    <x v="0"/>
    <s v="b4"/>
    <m/>
    <m/>
    <m/>
    <s v="B"/>
    <s v="b3"/>
    <m/>
    <s v="b4"/>
    <m/>
    <b v="0"/>
    <m/>
    <n v="1"/>
    <n v="2"/>
    <x v="6"/>
    <n v="1"/>
    <n v="2"/>
    <n v="0"/>
    <n v="2"/>
    <x v="2"/>
    <x v="5"/>
    <s v="Y"/>
    <s v="Y"/>
    <m/>
    <m/>
    <m/>
    <m/>
    <m/>
    <m/>
    <m/>
    <m/>
    <m/>
    <m/>
    <n v="10"/>
    <n v="100"/>
    <n v="2"/>
    <n v="3"/>
    <n v="2"/>
    <n v="3"/>
    <n v="0"/>
    <n v="0"/>
    <n v="0"/>
  </r>
  <r>
    <s v="2_3_3B"/>
    <x v="2"/>
    <x v="0"/>
    <m/>
    <s v="b4"/>
    <m/>
    <m/>
    <s v="B"/>
    <s v="b3"/>
    <m/>
    <m/>
    <s v="b4"/>
    <b v="0"/>
    <m/>
    <n v="1"/>
    <n v="2"/>
    <x v="6"/>
    <n v="1"/>
    <n v="2"/>
    <n v="0"/>
    <n v="2"/>
    <x v="3"/>
    <x v="5"/>
    <s v="Y"/>
    <s v="Y"/>
    <m/>
    <m/>
    <m/>
    <m/>
    <m/>
    <m/>
    <m/>
    <m/>
    <m/>
    <m/>
    <n v="100"/>
    <n v="100"/>
    <n v="3"/>
    <n v="3"/>
    <n v="3"/>
    <n v="3"/>
    <n v="0"/>
    <n v="0"/>
    <n v="0"/>
  </r>
  <r>
    <s v="2_4_3B"/>
    <x v="2"/>
    <x v="3"/>
    <s v="b4"/>
    <m/>
    <m/>
    <m/>
    <s v="B"/>
    <s v="b3"/>
    <s v="b4"/>
    <s v="b4"/>
    <m/>
    <b v="0"/>
    <m/>
    <n v="2"/>
    <n v="2"/>
    <x v="6"/>
    <n v="2"/>
    <n v="2"/>
    <n v="0"/>
    <n v="2"/>
    <x v="4"/>
    <x v="5"/>
    <s v="Y"/>
    <s v="Y"/>
    <m/>
    <m/>
    <m/>
    <m/>
    <m/>
    <m/>
    <m/>
    <m/>
    <m/>
    <m/>
    <n v="11"/>
    <n v="100"/>
    <n v="4"/>
    <n v="3"/>
    <n v="4"/>
    <n v="3"/>
    <n v="0"/>
    <n v="0"/>
    <n v="0"/>
  </r>
  <r>
    <s v="2_5_3B"/>
    <x v="2"/>
    <x v="3"/>
    <m/>
    <s v="b4"/>
    <m/>
    <m/>
    <s v="B"/>
    <s v="b3"/>
    <s v="b4"/>
    <m/>
    <s v="b4"/>
    <b v="0"/>
    <m/>
    <n v="2"/>
    <n v="2"/>
    <x v="6"/>
    <n v="2"/>
    <n v="2"/>
    <n v="0"/>
    <n v="2"/>
    <x v="5"/>
    <x v="5"/>
    <s v="Y"/>
    <s v="Y"/>
    <m/>
    <m/>
    <m/>
    <m/>
    <m/>
    <m/>
    <m/>
    <m/>
    <m/>
    <m/>
    <n v="101"/>
    <n v="100"/>
    <n v="5"/>
    <n v="3"/>
    <n v="5"/>
    <n v="3"/>
    <n v="0"/>
    <n v="0"/>
    <n v="0"/>
  </r>
  <r>
    <s v="2_6_3B"/>
    <x v="2"/>
    <x v="0"/>
    <s v="b4"/>
    <s v="b4"/>
    <m/>
    <m/>
    <s v="B"/>
    <s v="b3"/>
    <m/>
    <s v="b4"/>
    <s v="b4"/>
    <b v="0"/>
    <m/>
    <n v="2"/>
    <n v="2"/>
    <x v="6"/>
    <n v="2"/>
    <n v="2"/>
    <n v="0"/>
    <n v="2"/>
    <x v="6"/>
    <x v="5"/>
    <s v="Y"/>
    <s v="Y"/>
    <m/>
    <m/>
    <m/>
    <m/>
    <m/>
    <m/>
    <m/>
    <m/>
    <m/>
    <m/>
    <n v="110"/>
    <n v="100"/>
    <n v="6"/>
    <n v="3"/>
    <n v="6"/>
    <n v="3"/>
    <n v="0"/>
    <n v="0"/>
    <n v="0"/>
  </r>
  <r>
    <s v="2_7_3B"/>
    <x v="2"/>
    <x v="3"/>
    <s v="b4"/>
    <s v="b4"/>
    <m/>
    <m/>
    <s v="B"/>
    <s v="b3"/>
    <s v="b4"/>
    <s v="b4"/>
    <s v="b4"/>
    <b v="0"/>
    <m/>
    <n v="3"/>
    <n v="2"/>
    <x v="6"/>
    <n v="3"/>
    <n v="2"/>
    <n v="0"/>
    <n v="2"/>
    <x v="7"/>
    <x v="5"/>
    <s v="Y"/>
    <s v="Y"/>
    <m/>
    <m/>
    <m/>
    <m/>
    <m/>
    <m/>
    <m/>
    <m/>
    <m/>
    <m/>
    <n v="111"/>
    <n v="100"/>
    <n v="7"/>
    <n v="3"/>
    <n v="7"/>
    <n v="3"/>
    <n v="0"/>
    <n v="0"/>
    <n v="0"/>
  </r>
  <r>
    <s v="0_1_Balk"/>
    <x v="3"/>
    <x v="1"/>
    <m/>
    <m/>
    <m/>
    <s v="r1"/>
    <m/>
    <m/>
    <s v="b2"/>
    <m/>
    <m/>
    <b v="0"/>
    <m/>
    <n v="0"/>
    <n v="0"/>
    <x v="4"/>
    <n v="0"/>
    <n v="0"/>
    <n v="0"/>
    <n v="0"/>
    <x v="1"/>
    <x v="6"/>
    <s v="N"/>
    <s v="N"/>
    <m/>
    <m/>
    <m/>
    <m/>
    <m/>
    <m/>
    <m/>
    <m/>
    <m/>
    <m/>
    <n v="1"/>
    <n v="10"/>
    <n v="1"/>
    <n v="2"/>
    <n v="1"/>
    <n v="2"/>
    <n v="0"/>
    <n v="0"/>
    <n v="0"/>
  </r>
  <r>
    <s v="0_2_Balk"/>
    <x v="3"/>
    <x v="0"/>
    <s v="b3"/>
    <m/>
    <m/>
    <m/>
    <s v="r2"/>
    <m/>
    <m/>
    <s v="b3"/>
    <m/>
    <b v="0"/>
    <m/>
    <n v="0"/>
    <n v="0"/>
    <x v="6"/>
    <n v="0"/>
    <n v="0"/>
    <n v="0"/>
    <n v="0"/>
    <x v="2"/>
    <x v="6"/>
    <s v="N"/>
    <s v="N"/>
    <m/>
    <m/>
    <m/>
    <m/>
    <m/>
    <m/>
    <m/>
    <m/>
    <m/>
    <m/>
    <n v="10"/>
    <n v="100"/>
    <n v="2"/>
    <n v="3"/>
    <n v="2"/>
    <n v="3"/>
    <n v="0"/>
    <n v="0"/>
    <n v="0"/>
  </r>
  <r>
    <s v="0_3_Balk"/>
    <x v="3"/>
    <x v="0"/>
    <m/>
    <s v="b4"/>
    <m/>
    <m/>
    <m/>
    <m/>
    <m/>
    <m/>
    <s v="b4"/>
    <b v="0"/>
    <m/>
    <n v="1"/>
    <n v="0"/>
    <x v="7"/>
    <n v="1"/>
    <n v="0"/>
    <n v="0"/>
    <n v="0"/>
    <x v="3"/>
    <x v="6"/>
    <s v="N"/>
    <s v="N"/>
    <m/>
    <m/>
    <m/>
    <m/>
    <m/>
    <m/>
    <m/>
    <m/>
    <m/>
    <m/>
    <n v="100"/>
    <n v="0"/>
    <n v="3"/>
    <n v="0"/>
    <n v="3"/>
    <n v="0"/>
    <n v="0"/>
    <n v="0"/>
    <n v="0"/>
  </r>
  <r>
    <s v="0_4_Balk"/>
    <x v="3"/>
    <x v="1"/>
    <s v="b3"/>
    <m/>
    <m/>
    <s v="r1"/>
    <s v="r2"/>
    <m/>
    <s v="b2"/>
    <s v="b3"/>
    <m/>
    <b v="0"/>
    <m/>
    <n v="0"/>
    <n v="0"/>
    <x v="5"/>
    <n v="0"/>
    <n v="0"/>
    <n v="0"/>
    <n v="0"/>
    <x v="4"/>
    <x v="6"/>
    <s v="N"/>
    <s v="N"/>
    <m/>
    <m/>
    <m/>
    <m/>
    <m/>
    <m/>
    <m/>
    <m/>
    <m/>
    <m/>
    <n v="11"/>
    <n v="110"/>
    <n v="4"/>
    <n v="6"/>
    <n v="4"/>
    <n v="6"/>
    <n v="0"/>
    <n v="0"/>
    <n v="0"/>
  </r>
  <r>
    <s v="0_5_Balk"/>
    <x v="3"/>
    <x v="1"/>
    <m/>
    <s v="b4"/>
    <m/>
    <s v="r1"/>
    <m/>
    <m/>
    <s v="b2"/>
    <m/>
    <s v="b4"/>
    <b v="0"/>
    <m/>
    <n v="1"/>
    <n v="0"/>
    <x v="4"/>
    <n v="1"/>
    <n v="0"/>
    <n v="0"/>
    <n v="0"/>
    <x v="5"/>
    <x v="6"/>
    <s v="N"/>
    <s v="N"/>
    <m/>
    <m/>
    <m/>
    <m/>
    <m/>
    <m/>
    <m/>
    <m/>
    <m/>
    <m/>
    <n v="101"/>
    <n v="10"/>
    <n v="5"/>
    <n v="2"/>
    <n v="5"/>
    <n v="2"/>
    <n v="0"/>
    <n v="0"/>
    <n v="0"/>
  </r>
  <r>
    <s v="0_6_Balk"/>
    <x v="3"/>
    <x v="0"/>
    <s v="b3"/>
    <s v="b4"/>
    <m/>
    <m/>
    <s v="r2"/>
    <m/>
    <m/>
    <s v="b3"/>
    <s v="b4"/>
    <b v="0"/>
    <m/>
    <n v="1"/>
    <n v="0"/>
    <x v="6"/>
    <n v="1"/>
    <n v="0"/>
    <n v="0"/>
    <n v="0"/>
    <x v="6"/>
    <x v="6"/>
    <s v="N"/>
    <s v="N"/>
    <m/>
    <m/>
    <m/>
    <m/>
    <m/>
    <m/>
    <m/>
    <m/>
    <m/>
    <m/>
    <n v="110"/>
    <n v="100"/>
    <n v="6"/>
    <n v="3"/>
    <n v="6"/>
    <n v="3"/>
    <n v="0"/>
    <n v="0"/>
    <n v="0"/>
  </r>
  <r>
    <s v="0_7_Balk"/>
    <x v="3"/>
    <x v="1"/>
    <s v="b3"/>
    <s v="b4"/>
    <m/>
    <s v="r1"/>
    <s v="r2"/>
    <m/>
    <s v="b2"/>
    <s v="b3"/>
    <s v="b4"/>
    <b v="0"/>
    <m/>
    <n v="1"/>
    <n v="0"/>
    <x v="5"/>
    <n v="1"/>
    <n v="0"/>
    <n v="0"/>
    <n v="0"/>
    <x v="7"/>
    <x v="6"/>
    <s v="N"/>
    <s v="N"/>
    <m/>
    <m/>
    <m/>
    <m/>
    <m/>
    <m/>
    <m/>
    <m/>
    <m/>
    <m/>
    <n v="111"/>
    <n v="110"/>
    <n v="7"/>
    <n v="6"/>
    <n v="7"/>
    <n v="6"/>
    <n v="0"/>
    <n v="0"/>
    <n v="0"/>
  </r>
  <r>
    <s v="1_1_Balk"/>
    <x v="3"/>
    <x v="1"/>
    <m/>
    <m/>
    <m/>
    <s v="r1"/>
    <m/>
    <m/>
    <s v="b2"/>
    <m/>
    <m/>
    <b v="0"/>
    <m/>
    <n v="0"/>
    <n v="1"/>
    <x v="4"/>
    <n v="0"/>
    <n v="1"/>
    <n v="0"/>
    <n v="1"/>
    <x v="1"/>
    <x v="6"/>
    <s v="N"/>
    <s v="N"/>
    <m/>
    <m/>
    <m/>
    <m/>
    <m/>
    <m/>
    <m/>
    <m/>
    <m/>
    <m/>
    <n v="1"/>
    <n v="10"/>
    <n v="1"/>
    <n v="2"/>
    <n v="1"/>
    <n v="2"/>
    <n v="0"/>
    <n v="0"/>
    <n v="0"/>
  </r>
  <r>
    <s v="1_2_Balk"/>
    <x v="3"/>
    <x v="0"/>
    <s v="b3"/>
    <m/>
    <m/>
    <m/>
    <s v="r2"/>
    <m/>
    <m/>
    <s v="b3"/>
    <m/>
    <b v="0"/>
    <m/>
    <n v="0"/>
    <n v="1"/>
    <x v="6"/>
    <n v="0"/>
    <n v="1"/>
    <n v="0"/>
    <n v="1"/>
    <x v="2"/>
    <x v="6"/>
    <s v="N"/>
    <s v="N"/>
    <m/>
    <m/>
    <m/>
    <m/>
    <m/>
    <m/>
    <m/>
    <m/>
    <m/>
    <m/>
    <n v="10"/>
    <n v="100"/>
    <n v="2"/>
    <n v="3"/>
    <n v="2"/>
    <n v="3"/>
    <n v="0"/>
    <n v="0"/>
    <n v="0"/>
  </r>
  <r>
    <s v="1_3_Balk"/>
    <x v="3"/>
    <x v="0"/>
    <m/>
    <s v="b4"/>
    <m/>
    <m/>
    <m/>
    <m/>
    <m/>
    <m/>
    <s v="b4"/>
    <b v="0"/>
    <m/>
    <n v="1"/>
    <n v="1"/>
    <x v="7"/>
    <n v="1"/>
    <n v="1"/>
    <n v="0"/>
    <n v="1"/>
    <x v="3"/>
    <x v="6"/>
    <s v="N"/>
    <s v="N"/>
    <m/>
    <m/>
    <m/>
    <m/>
    <m/>
    <m/>
    <m/>
    <m/>
    <m/>
    <m/>
    <n v="100"/>
    <n v="0"/>
    <n v="3"/>
    <n v="0"/>
    <n v="3"/>
    <n v="0"/>
    <n v="0"/>
    <n v="0"/>
    <n v="0"/>
  </r>
  <r>
    <s v="1_4_Balk"/>
    <x v="3"/>
    <x v="1"/>
    <s v="b3"/>
    <m/>
    <m/>
    <s v="r1"/>
    <s v="r2"/>
    <m/>
    <s v="b2"/>
    <s v="b3"/>
    <m/>
    <b v="0"/>
    <m/>
    <n v="0"/>
    <n v="1"/>
    <x v="5"/>
    <n v="0"/>
    <n v="1"/>
    <n v="0"/>
    <n v="1"/>
    <x v="4"/>
    <x v="6"/>
    <s v="N"/>
    <s v="N"/>
    <m/>
    <m/>
    <m/>
    <m/>
    <m/>
    <m/>
    <m/>
    <m/>
    <m/>
    <m/>
    <n v="11"/>
    <n v="110"/>
    <n v="4"/>
    <n v="6"/>
    <n v="4"/>
    <n v="6"/>
    <n v="0"/>
    <n v="0"/>
    <n v="0"/>
  </r>
  <r>
    <s v="1_5_Balk"/>
    <x v="3"/>
    <x v="1"/>
    <m/>
    <s v="b4"/>
    <m/>
    <s v="r1"/>
    <m/>
    <m/>
    <s v="b2"/>
    <m/>
    <s v="b4"/>
    <b v="0"/>
    <m/>
    <n v="1"/>
    <n v="1"/>
    <x v="4"/>
    <n v="1"/>
    <n v="1"/>
    <n v="0"/>
    <n v="1"/>
    <x v="5"/>
    <x v="6"/>
    <s v="N"/>
    <s v="N"/>
    <m/>
    <m/>
    <m/>
    <m/>
    <m/>
    <m/>
    <m/>
    <m/>
    <m/>
    <m/>
    <n v="101"/>
    <n v="10"/>
    <n v="5"/>
    <n v="2"/>
    <n v="5"/>
    <n v="2"/>
    <n v="0"/>
    <n v="0"/>
    <n v="0"/>
  </r>
  <r>
    <s v="1_6_Balk"/>
    <x v="3"/>
    <x v="0"/>
    <s v="b3"/>
    <s v="b4"/>
    <m/>
    <m/>
    <s v="r2"/>
    <m/>
    <m/>
    <s v="b3"/>
    <s v="b4"/>
    <b v="0"/>
    <m/>
    <n v="1"/>
    <n v="1"/>
    <x v="6"/>
    <n v="1"/>
    <n v="1"/>
    <n v="0"/>
    <n v="1"/>
    <x v="6"/>
    <x v="6"/>
    <s v="N"/>
    <s v="N"/>
    <m/>
    <m/>
    <m/>
    <m/>
    <m/>
    <m/>
    <m/>
    <m/>
    <m/>
    <m/>
    <n v="110"/>
    <n v="100"/>
    <n v="6"/>
    <n v="3"/>
    <n v="6"/>
    <n v="3"/>
    <n v="0"/>
    <n v="0"/>
    <n v="0"/>
  </r>
  <r>
    <s v="1_7_Balk"/>
    <x v="3"/>
    <x v="1"/>
    <s v="b3"/>
    <s v="b4"/>
    <m/>
    <s v="r1"/>
    <s v="r2"/>
    <m/>
    <s v="b2"/>
    <s v="b3"/>
    <s v="b4"/>
    <b v="0"/>
    <m/>
    <n v="1"/>
    <n v="1"/>
    <x v="5"/>
    <n v="1"/>
    <n v="1"/>
    <n v="0"/>
    <n v="1"/>
    <x v="7"/>
    <x v="6"/>
    <s v="N"/>
    <s v="N"/>
    <m/>
    <m/>
    <m/>
    <m/>
    <m/>
    <m/>
    <m/>
    <m/>
    <m/>
    <m/>
    <n v="111"/>
    <n v="110"/>
    <n v="7"/>
    <n v="6"/>
    <n v="7"/>
    <n v="6"/>
    <n v="0"/>
    <n v="0"/>
    <n v="0"/>
  </r>
  <r>
    <s v="2_1_Balk"/>
    <x v="3"/>
    <x v="1"/>
    <m/>
    <m/>
    <m/>
    <s v="r1"/>
    <m/>
    <m/>
    <s v="b2"/>
    <m/>
    <m/>
    <b v="0"/>
    <m/>
    <n v="0"/>
    <n v="2"/>
    <x v="4"/>
    <n v="0"/>
    <n v="2"/>
    <n v="0"/>
    <n v="2"/>
    <x v="1"/>
    <x v="6"/>
    <s v="N"/>
    <s v="N"/>
    <m/>
    <m/>
    <m/>
    <m/>
    <m/>
    <m/>
    <m/>
    <m/>
    <m/>
    <m/>
    <n v="1"/>
    <n v="10"/>
    <n v="1"/>
    <n v="2"/>
    <n v="1"/>
    <n v="2"/>
    <n v="0"/>
    <n v="0"/>
    <n v="0"/>
  </r>
  <r>
    <s v="2_2_Balk"/>
    <x v="3"/>
    <x v="0"/>
    <s v="b3"/>
    <m/>
    <m/>
    <m/>
    <s v="r2"/>
    <m/>
    <m/>
    <s v="b3"/>
    <m/>
    <b v="0"/>
    <m/>
    <n v="0"/>
    <n v="2"/>
    <x v="6"/>
    <n v="0"/>
    <n v="2"/>
    <n v="0"/>
    <n v="2"/>
    <x v="2"/>
    <x v="6"/>
    <s v="N"/>
    <s v="N"/>
    <m/>
    <m/>
    <m/>
    <m/>
    <m/>
    <m/>
    <m/>
    <m/>
    <m/>
    <m/>
    <n v="10"/>
    <n v="100"/>
    <n v="2"/>
    <n v="3"/>
    <n v="2"/>
    <n v="3"/>
    <n v="0"/>
    <n v="0"/>
    <n v="0"/>
  </r>
  <r>
    <s v="2_3_Balk"/>
    <x v="3"/>
    <x v="0"/>
    <m/>
    <s v="b4"/>
    <m/>
    <m/>
    <m/>
    <m/>
    <m/>
    <m/>
    <s v="b4"/>
    <b v="0"/>
    <m/>
    <n v="1"/>
    <n v="2"/>
    <x v="7"/>
    <n v="1"/>
    <n v="2"/>
    <n v="0"/>
    <n v="2"/>
    <x v="3"/>
    <x v="6"/>
    <s v="N"/>
    <s v="N"/>
    <m/>
    <m/>
    <m/>
    <m/>
    <m/>
    <m/>
    <m/>
    <m/>
    <m/>
    <m/>
    <n v="100"/>
    <n v="0"/>
    <n v="3"/>
    <n v="0"/>
    <n v="3"/>
    <n v="0"/>
    <n v="0"/>
    <n v="0"/>
    <n v="0"/>
  </r>
  <r>
    <s v="2_4_Balk"/>
    <x v="3"/>
    <x v="1"/>
    <s v="b3"/>
    <m/>
    <m/>
    <s v="r1"/>
    <s v="r2"/>
    <m/>
    <s v="b2"/>
    <s v="b3"/>
    <m/>
    <b v="0"/>
    <m/>
    <n v="0"/>
    <n v="2"/>
    <x v="5"/>
    <n v="0"/>
    <n v="2"/>
    <n v="0"/>
    <n v="2"/>
    <x v="4"/>
    <x v="6"/>
    <s v="N"/>
    <s v="N"/>
    <m/>
    <m/>
    <m/>
    <m/>
    <m/>
    <m/>
    <m/>
    <m/>
    <m/>
    <m/>
    <n v="11"/>
    <n v="110"/>
    <n v="4"/>
    <n v="6"/>
    <n v="4"/>
    <n v="6"/>
    <n v="0"/>
    <n v="0"/>
    <n v="0"/>
  </r>
  <r>
    <s v="2_5_Balk"/>
    <x v="3"/>
    <x v="1"/>
    <m/>
    <s v="b4"/>
    <m/>
    <s v="r1"/>
    <m/>
    <m/>
    <s v="b2"/>
    <m/>
    <s v="b4"/>
    <b v="0"/>
    <m/>
    <n v="1"/>
    <n v="2"/>
    <x v="4"/>
    <n v="1"/>
    <n v="2"/>
    <n v="0"/>
    <n v="2"/>
    <x v="5"/>
    <x v="6"/>
    <s v="N"/>
    <s v="N"/>
    <m/>
    <m/>
    <m/>
    <m/>
    <m/>
    <m/>
    <m/>
    <m/>
    <m/>
    <m/>
    <n v="101"/>
    <n v="10"/>
    <n v="5"/>
    <n v="2"/>
    <n v="5"/>
    <n v="2"/>
    <n v="0"/>
    <n v="0"/>
    <n v="0"/>
  </r>
  <r>
    <s v="2_6_Balk"/>
    <x v="3"/>
    <x v="0"/>
    <s v="b3"/>
    <s v="b4"/>
    <m/>
    <m/>
    <s v="r2"/>
    <m/>
    <m/>
    <s v="b3"/>
    <s v="b4"/>
    <b v="0"/>
    <m/>
    <n v="1"/>
    <n v="2"/>
    <x v="6"/>
    <n v="1"/>
    <n v="2"/>
    <n v="0"/>
    <n v="2"/>
    <x v="6"/>
    <x v="6"/>
    <s v="N"/>
    <s v="N"/>
    <m/>
    <m/>
    <m/>
    <m/>
    <m/>
    <m/>
    <m/>
    <m/>
    <m/>
    <m/>
    <n v="110"/>
    <n v="100"/>
    <n v="6"/>
    <n v="3"/>
    <n v="6"/>
    <n v="3"/>
    <n v="0"/>
    <n v="0"/>
    <n v="0"/>
  </r>
  <r>
    <s v="2_7_Balk"/>
    <x v="3"/>
    <x v="1"/>
    <s v="b3"/>
    <s v="b4"/>
    <m/>
    <s v="r1"/>
    <s v="r2"/>
    <m/>
    <s v="b2"/>
    <s v="b3"/>
    <s v="b4"/>
    <b v="0"/>
    <m/>
    <n v="1"/>
    <n v="2"/>
    <x v="5"/>
    <n v="1"/>
    <n v="2"/>
    <n v="0"/>
    <n v="2"/>
    <x v="7"/>
    <x v="6"/>
    <s v="N"/>
    <s v="N"/>
    <m/>
    <m/>
    <m/>
    <m/>
    <m/>
    <m/>
    <m/>
    <m/>
    <m/>
    <m/>
    <n v="111"/>
    <n v="110"/>
    <n v="7"/>
    <n v="6"/>
    <n v="7"/>
    <n v="6"/>
    <n v="0"/>
    <n v="0"/>
    <n v="0"/>
  </r>
  <r>
    <s v="0_0_bAuto"/>
    <x v="4"/>
    <x v="0"/>
    <m/>
    <m/>
    <m/>
    <m/>
    <m/>
    <n v="0"/>
    <m/>
    <m/>
    <m/>
    <b v="0"/>
    <m/>
    <n v="0"/>
    <n v="1"/>
    <x v="7"/>
    <n v="0"/>
    <n v="0"/>
    <n v="1"/>
    <n v="1"/>
    <x v="0"/>
    <x v="7"/>
    <s v="Y"/>
    <s v="N"/>
    <m/>
    <m/>
    <m/>
    <m/>
    <m/>
    <m/>
    <m/>
    <m/>
    <m/>
    <m/>
    <n v="0"/>
    <n v="0"/>
    <n v="0"/>
    <n v="0"/>
    <n v="0"/>
    <n v="0"/>
    <n v="0"/>
    <n v="0"/>
    <n v="0"/>
  </r>
  <r>
    <s v="0_1_bAuto"/>
    <x v="4"/>
    <x v="4"/>
    <m/>
    <m/>
    <s v="r1"/>
    <m/>
    <m/>
    <n v="0"/>
    <s v="b1"/>
    <m/>
    <m/>
    <b v="0"/>
    <m/>
    <n v="0"/>
    <n v="1"/>
    <x v="0"/>
    <n v="0"/>
    <n v="0"/>
    <n v="1"/>
    <n v="1"/>
    <x v="1"/>
    <x v="7"/>
    <s v="Y"/>
    <s v="N"/>
    <m/>
    <m/>
    <m/>
    <m/>
    <m/>
    <m/>
    <m/>
    <m/>
    <m/>
    <m/>
    <n v="1"/>
    <n v="1"/>
    <n v="1"/>
    <n v="1"/>
    <n v="1"/>
    <n v="1"/>
    <n v="0"/>
    <n v="0"/>
    <n v="0"/>
  </r>
  <r>
    <s v="0_2_bAuto"/>
    <x v="4"/>
    <x v="0"/>
    <s v="b2"/>
    <m/>
    <m/>
    <s v="r2"/>
    <m/>
    <n v="0"/>
    <m/>
    <s v="b2"/>
    <m/>
    <b v="0"/>
    <m/>
    <n v="0"/>
    <n v="1"/>
    <x v="4"/>
    <n v="0"/>
    <n v="0"/>
    <n v="1"/>
    <n v="1"/>
    <x v="2"/>
    <x v="7"/>
    <s v="Y"/>
    <s v="N"/>
    <m/>
    <m/>
    <m/>
    <m/>
    <m/>
    <m/>
    <m/>
    <m/>
    <m/>
    <m/>
    <n v="10"/>
    <n v="10"/>
    <n v="2"/>
    <n v="2"/>
    <n v="2"/>
    <n v="2"/>
    <n v="0"/>
    <n v="0"/>
    <n v="0"/>
  </r>
  <r>
    <s v="0_3_bAuto"/>
    <x v="4"/>
    <x v="0"/>
    <m/>
    <s v="b3"/>
    <m/>
    <m/>
    <s v="r3"/>
    <n v="0"/>
    <m/>
    <m/>
    <s v="b3"/>
    <b v="0"/>
    <m/>
    <n v="0"/>
    <n v="1"/>
    <x v="6"/>
    <n v="0"/>
    <n v="0"/>
    <n v="1"/>
    <n v="1"/>
    <x v="3"/>
    <x v="7"/>
    <s v="Y"/>
    <s v="N"/>
    <m/>
    <m/>
    <m/>
    <m/>
    <m/>
    <m/>
    <m/>
    <m/>
    <m/>
    <m/>
    <n v="100"/>
    <n v="100"/>
    <n v="3"/>
    <n v="3"/>
    <n v="3"/>
    <n v="3"/>
    <n v="0"/>
    <n v="0"/>
    <n v="0"/>
  </r>
  <r>
    <s v="0_4_bAuto"/>
    <x v="4"/>
    <x v="4"/>
    <s v="b2"/>
    <m/>
    <s v="r1"/>
    <s v="r2"/>
    <m/>
    <n v="0"/>
    <s v="b1"/>
    <s v="b2"/>
    <m/>
    <b v="0"/>
    <m/>
    <n v="0"/>
    <n v="1"/>
    <x v="1"/>
    <n v="0"/>
    <n v="0"/>
    <n v="1"/>
    <n v="1"/>
    <x v="4"/>
    <x v="7"/>
    <s v="Y"/>
    <s v="N"/>
    <m/>
    <m/>
    <m/>
    <m/>
    <m/>
    <m/>
    <m/>
    <m/>
    <m/>
    <m/>
    <n v="11"/>
    <n v="11"/>
    <n v="4"/>
    <n v="4"/>
    <n v="4"/>
    <n v="4"/>
    <n v="0"/>
    <n v="0"/>
    <n v="0"/>
  </r>
  <r>
    <s v="0_5_bAuto"/>
    <x v="4"/>
    <x v="4"/>
    <m/>
    <s v="b3"/>
    <s v="r1"/>
    <m/>
    <s v="r3"/>
    <n v="0"/>
    <s v="b1"/>
    <m/>
    <s v="b3"/>
    <b v="0"/>
    <m/>
    <n v="0"/>
    <n v="1"/>
    <x v="2"/>
    <n v="0"/>
    <n v="0"/>
    <n v="1"/>
    <n v="1"/>
    <x v="5"/>
    <x v="7"/>
    <s v="Y"/>
    <s v="N"/>
    <m/>
    <m/>
    <m/>
    <m/>
    <m/>
    <m/>
    <m/>
    <m/>
    <m/>
    <m/>
    <n v="101"/>
    <n v="101"/>
    <n v="5"/>
    <n v="5"/>
    <n v="5"/>
    <n v="5"/>
    <n v="0"/>
    <n v="0"/>
    <n v="0"/>
  </r>
  <r>
    <s v="0_6_bAuto"/>
    <x v="4"/>
    <x v="0"/>
    <s v="b2"/>
    <s v="b3"/>
    <m/>
    <s v="r2"/>
    <s v="r3"/>
    <n v="0"/>
    <m/>
    <s v="b2"/>
    <s v="b3"/>
    <b v="0"/>
    <m/>
    <n v="0"/>
    <n v="1"/>
    <x v="5"/>
    <n v="0"/>
    <n v="0"/>
    <n v="1"/>
    <n v="1"/>
    <x v="6"/>
    <x v="7"/>
    <s v="Y"/>
    <s v="N"/>
    <m/>
    <m/>
    <m/>
    <m/>
    <m/>
    <m/>
    <m/>
    <m/>
    <m/>
    <m/>
    <n v="110"/>
    <n v="110"/>
    <n v="6"/>
    <n v="6"/>
    <n v="6"/>
    <n v="6"/>
    <n v="0"/>
    <n v="0"/>
    <n v="0"/>
  </r>
  <r>
    <s v="0_7_bAuto"/>
    <x v="4"/>
    <x v="4"/>
    <s v="b2"/>
    <s v="b3"/>
    <s v="r1"/>
    <s v="r2"/>
    <s v="r3"/>
    <n v="0"/>
    <s v="b1"/>
    <s v="b2"/>
    <s v="b3"/>
    <b v="0"/>
    <m/>
    <n v="0"/>
    <n v="1"/>
    <x v="3"/>
    <n v="0"/>
    <n v="0"/>
    <n v="1"/>
    <n v="1"/>
    <x v="7"/>
    <x v="7"/>
    <s v="Y"/>
    <s v="N"/>
    <m/>
    <m/>
    <m/>
    <m/>
    <m/>
    <m/>
    <m/>
    <m/>
    <m/>
    <m/>
    <n v="111"/>
    <n v="111"/>
    <n v="7"/>
    <n v="7"/>
    <n v="7"/>
    <n v="7"/>
    <n v="0"/>
    <n v="0"/>
    <n v="0"/>
  </r>
  <r>
    <s v="1_0_bAuto"/>
    <x v="4"/>
    <x v="0"/>
    <m/>
    <m/>
    <m/>
    <m/>
    <m/>
    <n v="0"/>
    <m/>
    <m/>
    <m/>
    <b v="0"/>
    <m/>
    <n v="0"/>
    <n v="2"/>
    <x v="7"/>
    <n v="0"/>
    <n v="1"/>
    <n v="1"/>
    <n v="2"/>
    <x v="0"/>
    <x v="7"/>
    <s v="Y"/>
    <s v="N"/>
    <m/>
    <m/>
    <m/>
    <m/>
    <m/>
    <m/>
    <m/>
    <m/>
    <m/>
    <m/>
    <n v="0"/>
    <n v="0"/>
    <n v="0"/>
    <n v="0"/>
    <n v="0"/>
    <n v="0"/>
    <n v="0"/>
    <n v="0"/>
    <n v="0"/>
  </r>
  <r>
    <s v="1_1_bAuto"/>
    <x v="4"/>
    <x v="4"/>
    <m/>
    <m/>
    <s v="r1"/>
    <m/>
    <m/>
    <n v="0"/>
    <s v="b1"/>
    <m/>
    <m/>
    <b v="0"/>
    <m/>
    <n v="0"/>
    <n v="2"/>
    <x v="0"/>
    <n v="0"/>
    <n v="1"/>
    <n v="1"/>
    <n v="2"/>
    <x v="1"/>
    <x v="7"/>
    <s v="Y"/>
    <s v="N"/>
    <m/>
    <m/>
    <m/>
    <m/>
    <m/>
    <m/>
    <m/>
    <m/>
    <m/>
    <m/>
    <n v="1"/>
    <n v="1"/>
    <n v="1"/>
    <n v="1"/>
    <n v="1"/>
    <n v="1"/>
    <n v="0"/>
    <n v="0"/>
    <n v="0"/>
  </r>
  <r>
    <s v="1_2_bAuto"/>
    <x v="4"/>
    <x v="0"/>
    <s v="b2"/>
    <m/>
    <m/>
    <s v="r2"/>
    <m/>
    <n v="0"/>
    <m/>
    <s v="b2"/>
    <m/>
    <b v="0"/>
    <m/>
    <n v="0"/>
    <n v="2"/>
    <x v="4"/>
    <n v="0"/>
    <n v="1"/>
    <n v="1"/>
    <n v="2"/>
    <x v="2"/>
    <x v="7"/>
    <s v="Y"/>
    <s v="N"/>
    <m/>
    <m/>
    <m/>
    <m/>
    <m/>
    <m/>
    <m/>
    <m/>
    <m/>
    <m/>
    <n v="10"/>
    <n v="10"/>
    <n v="2"/>
    <n v="2"/>
    <n v="2"/>
    <n v="2"/>
    <n v="0"/>
    <n v="0"/>
    <n v="0"/>
  </r>
  <r>
    <s v="1_3_bAuto"/>
    <x v="4"/>
    <x v="0"/>
    <m/>
    <s v="b3"/>
    <m/>
    <m/>
    <s v="r3"/>
    <n v="0"/>
    <m/>
    <m/>
    <s v="b3"/>
    <b v="0"/>
    <m/>
    <n v="0"/>
    <n v="2"/>
    <x v="6"/>
    <n v="0"/>
    <n v="1"/>
    <n v="1"/>
    <n v="2"/>
    <x v="3"/>
    <x v="7"/>
    <s v="Y"/>
    <s v="N"/>
    <m/>
    <m/>
    <m/>
    <m/>
    <m/>
    <m/>
    <m/>
    <m/>
    <m/>
    <m/>
    <n v="100"/>
    <n v="100"/>
    <n v="3"/>
    <n v="3"/>
    <n v="3"/>
    <n v="3"/>
    <n v="0"/>
    <n v="0"/>
    <n v="0"/>
  </r>
  <r>
    <s v="1_4_bAuto"/>
    <x v="4"/>
    <x v="4"/>
    <s v="b2"/>
    <m/>
    <s v="r1"/>
    <s v="r2"/>
    <m/>
    <n v="0"/>
    <s v="b1"/>
    <s v="b2"/>
    <m/>
    <b v="0"/>
    <m/>
    <n v="0"/>
    <n v="2"/>
    <x v="1"/>
    <n v="0"/>
    <n v="1"/>
    <n v="1"/>
    <n v="2"/>
    <x v="4"/>
    <x v="7"/>
    <s v="Y"/>
    <s v="N"/>
    <m/>
    <m/>
    <m/>
    <m/>
    <m/>
    <m/>
    <m/>
    <m/>
    <m/>
    <m/>
    <n v="11"/>
    <n v="11"/>
    <n v="4"/>
    <n v="4"/>
    <n v="4"/>
    <n v="4"/>
    <n v="0"/>
    <n v="0"/>
    <n v="0"/>
  </r>
  <r>
    <s v="1_5_bAuto"/>
    <x v="4"/>
    <x v="4"/>
    <m/>
    <s v="b3"/>
    <s v="r1"/>
    <m/>
    <s v="r3"/>
    <n v="0"/>
    <s v="b1"/>
    <m/>
    <s v="b3"/>
    <b v="0"/>
    <m/>
    <n v="0"/>
    <n v="2"/>
    <x v="2"/>
    <n v="0"/>
    <n v="1"/>
    <n v="1"/>
    <n v="2"/>
    <x v="5"/>
    <x v="7"/>
    <s v="Y"/>
    <s v="N"/>
    <m/>
    <m/>
    <m/>
    <m/>
    <m/>
    <m/>
    <m/>
    <m/>
    <m/>
    <m/>
    <n v="101"/>
    <n v="101"/>
    <n v="5"/>
    <n v="5"/>
    <n v="5"/>
    <n v="5"/>
    <n v="0"/>
    <n v="0"/>
    <n v="0"/>
  </r>
  <r>
    <s v="1_6_bAuto"/>
    <x v="4"/>
    <x v="0"/>
    <s v="b2"/>
    <s v="b3"/>
    <m/>
    <s v="r2"/>
    <s v="r3"/>
    <n v="0"/>
    <m/>
    <s v="b2"/>
    <s v="b3"/>
    <b v="0"/>
    <m/>
    <n v="0"/>
    <n v="2"/>
    <x v="5"/>
    <n v="0"/>
    <n v="1"/>
    <n v="1"/>
    <n v="2"/>
    <x v="6"/>
    <x v="7"/>
    <s v="Y"/>
    <s v="N"/>
    <m/>
    <m/>
    <m/>
    <m/>
    <m/>
    <m/>
    <m/>
    <m/>
    <m/>
    <m/>
    <n v="110"/>
    <n v="110"/>
    <n v="6"/>
    <n v="6"/>
    <n v="6"/>
    <n v="6"/>
    <n v="0"/>
    <n v="0"/>
    <n v="0"/>
  </r>
  <r>
    <s v="1_7_bAuto"/>
    <x v="4"/>
    <x v="4"/>
    <s v="b2"/>
    <s v="b3"/>
    <s v="r1"/>
    <s v="r2"/>
    <s v="r3"/>
    <n v="0"/>
    <s v="b1"/>
    <s v="b2"/>
    <s v="b3"/>
    <b v="0"/>
    <m/>
    <n v="0"/>
    <n v="2"/>
    <x v="3"/>
    <n v="0"/>
    <n v="1"/>
    <n v="1"/>
    <n v="2"/>
    <x v="7"/>
    <x v="7"/>
    <s v="Y"/>
    <s v="N"/>
    <m/>
    <m/>
    <m/>
    <m/>
    <m/>
    <m/>
    <m/>
    <m/>
    <m/>
    <m/>
    <n v="111"/>
    <n v="111"/>
    <n v="7"/>
    <n v="7"/>
    <n v="7"/>
    <n v="7"/>
    <n v="0"/>
    <n v="0"/>
    <n v="0"/>
  </r>
  <r>
    <s v="2_0_bAuto"/>
    <x v="4"/>
    <x v="0"/>
    <m/>
    <m/>
    <m/>
    <m/>
    <m/>
    <n v="0"/>
    <m/>
    <m/>
    <m/>
    <b v="0"/>
    <m/>
    <n v="0"/>
    <n v="3"/>
    <x v="7"/>
    <n v="0"/>
    <n v="2"/>
    <n v="1"/>
    <n v="3"/>
    <x v="0"/>
    <x v="7"/>
    <s v="Y"/>
    <s v="N"/>
    <m/>
    <m/>
    <m/>
    <m/>
    <m/>
    <m/>
    <m/>
    <m/>
    <m/>
    <m/>
    <n v="0"/>
    <n v="0"/>
    <n v="0"/>
    <n v="0"/>
    <n v="0"/>
    <n v="0"/>
    <n v="0"/>
    <n v="0"/>
    <n v="0"/>
  </r>
  <r>
    <s v="2_1_bAuto"/>
    <x v="4"/>
    <x v="0"/>
    <m/>
    <m/>
    <m/>
    <m/>
    <m/>
    <n v="0"/>
    <s v="b1"/>
    <m/>
    <m/>
    <b v="0"/>
    <m/>
    <n v="0"/>
    <n v="3"/>
    <x v="7"/>
    <n v="0"/>
    <n v="2"/>
    <n v="1"/>
    <n v="3"/>
    <x v="1"/>
    <x v="7"/>
    <s v="Y"/>
    <s v="N"/>
    <m/>
    <m/>
    <m/>
    <m/>
    <m/>
    <m/>
    <m/>
    <m/>
    <m/>
    <m/>
    <n v="0"/>
    <n v="0"/>
    <n v="0"/>
    <n v="0"/>
    <n v="1"/>
    <n v="0"/>
    <n v="1"/>
    <n v="0"/>
    <n v="1"/>
  </r>
  <r>
    <s v="2_2_bAuto"/>
    <x v="4"/>
    <x v="0"/>
    <m/>
    <m/>
    <m/>
    <m/>
    <m/>
    <n v="0"/>
    <m/>
    <s v="b2"/>
    <m/>
    <b v="0"/>
    <m/>
    <n v="0"/>
    <n v="3"/>
    <x v="7"/>
    <n v="0"/>
    <n v="2"/>
    <n v="1"/>
    <n v="3"/>
    <x v="2"/>
    <x v="7"/>
    <s v="Y"/>
    <s v="N"/>
    <m/>
    <m/>
    <m/>
    <m/>
    <m/>
    <m/>
    <m/>
    <m/>
    <m/>
    <m/>
    <n v="0"/>
    <n v="0"/>
    <n v="0"/>
    <n v="0"/>
    <n v="2"/>
    <n v="0"/>
    <n v="1"/>
    <n v="0"/>
    <n v="1"/>
  </r>
  <r>
    <s v="2_3_bAuto"/>
    <x v="4"/>
    <x v="0"/>
    <m/>
    <m/>
    <m/>
    <m/>
    <m/>
    <n v="0"/>
    <m/>
    <m/>
    <s v="b3"/>
    <b v="0"/>
    <m/>
    <n v="0"/>
    <n v="3"/>
    <x v="7"/>
    <n v="0"/>
    <n v="2"/>
    <n v="1"/>
    <n v="3"/>
    <x v="3"/>
    <x v="7"/>
    <s v="Y"/>
    <s v="N"/>
    <m/>
    <m/>
    <m/>
    <m/>
    <m/>
    <m/>
    <m/>
    <m/>
    <m/>
    <m/>
    <n v="0"/>
    <n v="0"/>
    <n v="0"/>
    <n v="0"/>
    <n v="3"/>
    <n v="0"/>
    <n v="1"/>
    <n v="0"/>
    <n v="1"/>
  </r>
  <r>
    <s v="2_4_bAuto"/>
    <x v="4"/>
    <x v="0"/>
    <m/>
    <m/>
    <m/>
    <m/>
    <m/>
    <n v="0"/>
    <s v="b1"/>
    <s v="b2"/>
    <m/>
    <b v="0"/>
    <m/>
    <n v="0"/>
    <n v="3"/>
    <x v="7"/>
    <n v="0"/>
    <n v="2"/>
    <n v="1"/>
    <n v="3"/>
    <x v="4"/>
    <x v="7"/>
    <s v="Y"/>
    <s v="N"/>
    <m/>
    <m/>
    <m/>
    <m/>
    <m/>
    <m/>
    <m/>
    <m/>
    <m/>
    <m/>
    <n v="0"/>
    <n v="0"/>
    <n v="0"/>
    <n v="0"/>
    <n v="4"/>
    <n v="0"/>
    <n v="1"/>
    <n v="0"/>
    <n v="1"/>
  </r>
  <r>
    <s v="2_5_bAuto"/>
    <x v="4"/>
    <x v="0"/>
    <m/>
    <m/>
    <m/>
    <m/>
    <m/>
    <n v="0"/>
    <s v="b1"/>
    <m/>
    <s v="b3"/>
    <b v="0"/>
    <m/>
    <n v="0"/>
    <n v="3"/>
    <x v="7"/>
    <n v="0"/>
    <n v="2"/>
    <n v="1"/>
    <n v="3"/>
    <x v="5"/>
    <x v="7"/>
    <s v="Y"/>
    <s v="N"/>
    <m/>
    <m/>
    <m/>
    <m/>
    <m/>
    <m/>
    <m/>
    <m/>
    <m/>
    <m/>
    <n v="0"/>
    <n v="0"/>
    <n v="0"/>
    <n v="0"/>
    <n v="5"/>
    <n v="0"/>
    <n v="1"/>
    <n v="0"/>
    <n v="1"/>
  </r>
  <r>
    <s v="2_6_bAuto"/>
    <x v="4"/>
    <x v="0"/>
    <m/>
    <m/>
    <m/>
    <m/>
    <m/>
    <n v="0"/>
    <m/>
    <s v="b2"/>
    <s v="b3"/>
    <b v="0"/>
    <m/>
    <n v="0"/>
    <n v="3"/>
    <x v="7"/>
    <n v="0"/>
    <n v="2"/>
    <n v="1"/>
    <n v="3"/>
    <x v="6"/>
    <x v="7"/>
    <s v="Y"/>
    <s v="N"/>
    <m/>
    <m/>
    <m/>
    <m/>
    <m/>
    <m/>
    <m/>
    <m/>
    <m/>
    <m/>
    <n v="0"/>
    <n v="0"/>
    <n v="0"/>
    <n v="0"/>
    <n v="6"/>
    <n v="0"/>
    <n v="1"/>
    <n v="0"/>
    <n v="1"/>
  </r>
  <r>
    <s v="2_7_bAuto"/>
    <x v="4"/>
    <x v="0"/>
    <m/>
    <m/>
    <m/>
    <m/>
    <m/>
    <n v="0"/>
    <s v="b1"/>
    <s v="b2"/>
    <s v="b3"/>
    <b v="0"/>
    <m/>
    <n v="0"/>
    <n v="3"/>
    <x v="7"/>
    <n v="0"/>
    <n v="2"/>
    <n v="1"/>
    <n v="3"/>
    <x v="7"/>
    <x v="7"/>
    <s v="Y"/>
    <s v="N"/>
    <m/>
    <m/>
    <m/>
    <m/>
    <m/>
    <m/>
    <m/>
    <m/>
    <m/>
    <m/>
    <n v="0"/>
    <n v="0"/>
    <n v="0"/>
    <n v="0"/>
    <n v="7"/>
    <n v="0"/>
    <n v="1"/>
    <n v="0"/>
    <n v="1"/>
  </r>
  <r>
    <s v="0_0_B1B"/>
    <x v="0"/>
    <x v="0"/>
    <m/>
    <m/>
    <s v="B"/>
    <m/>
    <m/>
    <s v="b1"/>
    <m/>
    <m/>
    <m/>
    <b v="0"/>
    <m/>
    <n v="0"/>
    <n v="0"/>
    <x v="0"/>
    <n v="0"/>
    <n v="0"/>
    <n v="0"/>
    <n v="0"/>
    <x v="0"/>
    <x v="8"/>
    <s v="Y"/>
    <s v="Y"/>
    <m/>
    <m/>
    <m/>
    <m/>
    <m/>
    <m/>
    <m/>
    <m/>
    <m/>
    <m/>
    <n v="0"/>
    <n v="1"/>
    <n v="0"/>
    <n v="1"/>
    <n v="0"/>
    <n v="1"/>
    <n v="0"/>
    <n v="0"/>
    <n v="0"/>
  </r>
  <r>
    <s v="0_1_B1B"/>
    <x v="0"/>
    <x v="1"/>
    <m/>
    <m/>
    <s v="B"/>
    <s v="r1"/>
    <m/>
    <s v="b1"/>
    <s v="b2"/>
    <m/>
    <m/>
    <b v="0"/>
    <m/>
    <n v="0"/>
    <n v="0"/>
    <x v="1"/>
    <n v="0"/>
    <n v="0"/>
    <n v="0"/>
    <n v="0"/>
    <x v="1"/>
    <x v="8"/>
    <s v="Y"/>
    <s v="Y"/>
    <m/>
    <m/>
    <m/>
    <m/>
    <m/>
    <m/>
    <m/>
    <m/>
    <m/>
    <m/>
    <n v="1"/>
    <n v="11"/>
    <n v="1"/>
    <n v="4"/>
    <n v="1"/>
    <n v="4"/>
    <n v="0"/>
    <n v="0"/>
    <n v="0"/>
  </r>
  <r>
    <s v="0_2_B1B"/>
    <x v="0"/>
    <x v="0"/>
    <s v="b3"/>
    <m/>
    <s v="B"/>
    <m/>
    <s v="r2"/>
    <s v="b1"/>
    <m/>
    <s v="b3"/>
    <m/>
    <b v="0"/>
    <m/>
    <n v="0"/>
    <n v="0"/>
    <x v="2"/>
    <n v="0"/>
    <n v="0"/>
    <n v="0"/>
    <n v="0"/>
    <x v="2"/>
    <x v="8"/>
    <s v="Y"/>
    <s v="Y"/>
    <m/>
    <m/>
    <m/>
    <m/>
    <m/>
    <m/>
    <m/>
    <m/>
    <m/>
    <m/>
    <n v="10"/>
    <n v="101"/>
    <n v="2"/>
    <n v="5"/>
    <n v="2"/>
    <n v="5"/>
    <n v="0"/>
    <n v="0"/>
    <n v="0"/>
  </r>
  <r>
    <s v="0_3_B1B"/>
    <x v="0"/>
    <x v="0"/>
    <m/>
    <s v="b4"/>
    <s v="B"/>
    <m/>
    <m/>
    <s v="b1"/>
    <m/>
    <m/>
    <s v="b4"/>
    <b v="0"/>
    <m/>
    <n v="1"/>
    <n v="0"/>
    <x v="0"/>
    <n v="1"/>
    <n v="0"/>
    <n v="0"/>
    <n v="0"/>
    <x v="3"/>
    <x v="8"/>
    <s v="Y"/>
    <s v="Y"/>
    <m/>
    <m/>
    <m/>
    <m/>
    <m/>
    <m/>
    <m/>
    <m/>
    <m/>
    <m/>
    <n v="100"/>
    <n v="1"/>
    <n v="3"/>
    <n v="1"/>
    <n v="3"/>
    <n v="1"/>
    <n v="0"/>
    <n v="0"/>
    <n v="0"/>
  </r>
  <r>
    <s v="0_4_B1B"/>
    <x v="0"/>
    <x v="1"/>
    <s v="b3"/>
    <m/>
    <s v="B"/>
    <s v="r1"/>
    <s v="r2"/>
    <s v="b1"/>
    <s v="b2"/>
    <s v="b3"/>
    <m/>
    <b v="0"/>
    <m/>
    <n v="0"/>
    <n v="0"/>
    <x v="3"/>
    <n v="0"/>
    <n v="0"/>
    <n v="0"/>
    <n v="0"/>
    <x v="4"/>
    <x v="8"/>
    <s v="Y"/>
    <s v="Y"/>
    <m/>
    <m/>
    <m/>
    <m/>
    <m/>
    <m/>
    <m/>
    <m/>
    <m/>
    <m/>
    <n v="11"/>
    <n v="111"/>
    <n v="4"/>
    <n v="7"/>
    <n v="4"/>
    <n v="7"/>
    <n v="0"/>
    <n v="0"/>
    <n v="0"/>
  </r>
  <r>
    <s v="0_5_B1B"/>
    <x v="0"/>
    <x v="1"/>
    <m/>
    <s v="b4"/>
    <s v="B"/>
    <s v="r1"/>
    <m/>
    <s v="b1"/>
    <s v="b2"/>
    <m/>
    <s v="b4"/>
    <b v="0"/>
    <m/>
    <n v="1"/>
    <n v="0"/>
    <x v="1"/>
    <n v="1"/>
    <n v="0"/>
    <n v="0"/>
    <n v="0"/>
    <x v="5"/>
    <x v="8"/>
    <s v="Y"/>
    <s v="Y"/>
    <m/>
    <m/>
    <m/>
    <m/>
    <m/>
    <m/>
    <m/>
    <m/>
    <m/>
    <m/>
    <n v="101"/>
    <n v="11"/>
    <n v="5"/>
    <n v="4"/>
    <n v="5"/>
    <n v="4"/>
    <n v="0"/>
    <n v="0"/>
    <n v="0"/>
  </r>
  <r>
    <s v="0_6_B1B"/>
    <x v="0"/>
    <x v="0"/>
    <s v="b3"/>
    <s v="b4"/>
    <s v="B"/>
    <m/>
    <s v="r2"/>
    <s v="b1"/>
    <m/>
    <s v="b3"/>
    <s v="b4"/>
    <b v="0"/>
    <m/>
    <n v="1"/>
    <n v="0"/>
    <x v="2"/>
    <n v="1"/>
    <n v="0"/>
    <n v="0"/>
    <n v="0"/>
    <x v="6"/>
    <x v="8"/>
    <s v="Y"/>
    <s v="Y"/>
    <m/>
    <m/>
    <m/>
    <m/>
    <m/>
    <m/>
    <m/>
    <m/>
    <m/>
    <m/>
    <n v="110"/>
    <n v="101"/>
    <n v="6"/>
    <n v="5"/>
    <n v="6"/>
    <n v="5"/>
    <n v="0"/>
    <n v="0"/>
    <n v="0"/>
  </r>
  <r>
    <s v="0_7_B1B"/>
    <x v="0"/>
    <x v="1"/>
    <s v="b3"/>
    <s v="b4"/>
    <s v="B"/>
    <s v="r1"/>
    <s v="r2"/>
    <s v="b1"/>
    <s v="b2"/>
    <s v="b3"/>
    <s v="b4"/>
    <b v="0"/>
    <m/>
    <n v="1"/>
    <n v="0"/>
    <x v="3"/>
    <n v="1"/>
    <n v="0"/>
    <n v="0"/>
    <n v="0"/>
    <x v="7"/>
    <x v="8"/>
    <s v="Y"/>
    <s v="Y"/>
    <m/>
    <m/>
    <m/>
    <m/>
    <m/>
    <m/>
    <m/>
    <m/>
    <m/>
    <m/>
    <n v="111"/>
    <n v="111"/>
    <n v="7"/>
    <n v="7"/>
    <n v="7"/>
    <n v="7"/>
    <n v="0"/>
    <n v="0"/>
    <n v="0"/>
  </r>
  <r>
    <s v="1_0_B1B"/>
    <x v="0"/>
    <x v="0"/>
    <m/>
    <m/>
    <s v="B"/>
    <m/>
    <m/>
    <s v="b1"/>
    <m/>
    <m/>
    <m/>
    <b v="0"/>
    <m/>
    <n v="0"/>
    <n v="1"/>
    <x v="0"/>
    <n v="0"/>
    <n v="1"/>
    <n v="0"/>
    <n v="1"/>
    <x v="0"/>
    <x v="8"/>
    <s v="Y"/>
    <s v="Y"/>
    <m/>
    <m/>
    <m/>
    <m/>
    <m/>
    <m/>
    <m/>
    <m/>
    <m/>
    <m/>
    <n v="0"/>
    <n v="1"/>
    <n v="0"/>
    <n v="1"/>
    <n v="0"/>
    <n v="1"/>
    <n v="0"/>
    <n v="0"/>
    <n v="0"/>
  </r>
  <r>
    <s v="1_1_B1B"/>
    <x v="0"/>
    <x v="1"/>
    <m/>
    <m/>
    <s v="B"/>
    <s v="r1"/>
    <m/>
    <s v="b1"/>
    <s v="b2"/>
    <m/>
    <m/>
    <b v="0"/>
    <m/>
    <n v="0"/>
    <n v="1"/>
    <x v="1"/>
    <n v="0"/>
    <n v="1"/>
    <n v="0"/>
    <n v="1"/>
    <x v="1"/>
    <x v="8"/>
    <s v="Y"/>
    <s v="Y"/>
    <m/>
    <m/>
    <m/>
    <m/>
    <m/>
    <m/>
    <m/>
    <m/>
    <m/>
    <m/>
    <n v="1"/>
    <n v="11"/>
    <n v="1"/>
    <n v="4"/>
    <n v="1"/>
    <n v="4"/>
    <n v="0"/>
    <n v="0"/>
    <n v="0"/>
  </r>
  <r>
    <s v="1_2_B1B"/>
    <x v="0"/>
    <x v="0"/>
    <s v="b3"/>
    <m/>
    <s v="B"/>
    <m/>
    <s v="r2"/>
    <s v="b1"/>
    <m/>
    <s v="b3"/>
    <m/>
    <b v="0"/>
    <m/>
    <n v="0"/>
    <n v="1"/>
    <x v="2"/>
    <n v="0"/>
    <n v="1"/>
    <n v="0"/>
    <n v="1"/>
    <x v="2"/>
    <x v="8"/>
    <s v="Y"/>
    <s v="Y"/>
    <m/>
    <m/>
    <m/>
    <m/>
    <m/>
    <m/>
    <m/>
    <m/>
    <m/>
    <m/>
    <n v="10"/>
    <n v="101"/>
    <n v="2"/>
    <n v="5"/>
    <n v="2"/>
    <n v="5"/>
    <n v="0"/>
    <n v="0"/>
    <n v="0"/>
  </r>
  <r>
    <s v="1_3_B1B"/>
    <x v="0"/>
    <x v="0"/>
    <m/>
    <s v="b4"/>
    <s v="B"/>
    <m/>
    <m/>
    <s v="b1"/>
    <m/>
    <m/>
    <s v="b4"/>
    <b v="0"/>
    <m/>
    <n v="1"/>
    <n v="1"/>
    <x v="0"/>
    <n v="1"/>
    <n v="1"/>
    <n v="0"/>
    <n v="1"/>
    <x v="3"/>
    <x v="8"/>
    <s v="Y"/>
    <s v="Y"/>
    <m/>
    <m/>
    <m/>
    <m/>
    <m/>
    <m/>
    <m/>
    <m/>
    <m/>
    <m/>
    <n v="100"/>
    <n v="1"/>
    <n v="3"/>
    <n v="1"/>
    <n v="3"/>
    <n v="1"/>
    <n v="0"/>
    <n v="0"/>
    <n v="0"/>
  </r>
  <r>
    <s v="1_4_B1B"/>
    <x v="0"/>
    <x v="1"/>
    <s v="b3"/>
    <m/>
    <s v="B"/>
    <s v="r1"/>
    <s v="r2"/>
    <s v="b1"/>
    <s v="b2"/>
    <s v="b3"/>
    <m/>
    <b v="0"/>
    <m/>
    <n v="0"/>
    <n v="1"/>
    <x v="3"/>
    <n v="0"/>
    <n v="1"/>
    <n v="0"/>
    <n v="1"/>
    <x v="4"/>
    <x v="8"/>
    <s v="Y"/>
    <s v="Y"/>
    <m/>
    <m/>
    <m/>
    <m/>
    <m/>
    <m/>
    <m/>
    <m/>
    <m/>
    <m/>
    <n v="11"/>
    <n v="111"/>
    <n v="4"/>
    <n v="7"/>
    <n v="4"/>
    <n v="7"/>
    <n v="0"/>
    <n v="0"/>
    <n v="0"/>
  </r>
  <r>
    <s v="1_5_B1B"/>
    <x v="0"/>
    <x v="1"/>
    <m/>
    <s v="b4"/>
    <s v="B"/>
    <s v="r1"/>
    <m/>
    <s v="b1"/>
    <s v="b2"/>
    <m/>
    <s v="b4"/>
    <b v="0"/>
    <m/>
    <n v="1"/>
    <n v="1"/>
    <x v="1"/>
    <n v="1"/>
    <n v="1"/>
    <n v="0"/>
    <n v="1"/>
    <x v="5"/>
    <x v="8"/>
    <s v="Y"/>
    <s v="Y"/>
    <m/>
    <m/>
    <m/>
    <m/>
    <m/>
    <m/>
    <m/>
    <m/>
    <m/>
    <m/>
    <n v="101"/>
    <n v="11"/>
    <n v="5"/>
    <n v="4"/>
    <n v="5"/>
    <n v="4"/>
    <n v="0"/>
    <n v="0"/>
    <n v="0"/>
  </r>
  <r>
    <s v="1_6_B1B"/>
    <x v="0"/>
    <x v="0"/>
    <s v="b3"/>
    <s v="b4"/>
    <s v="B"/>
    <m/>
    <s v="r2"/>
    <s v="b1"/>
    <m/>
    <s v="b3"/>
    <s v="b4"/>
    <b v="0"/>
    <m/>
    <n v="1"/>
    <n v="1"/>
    <x v="2"/>
    <n v="1"/>
    <n v="1"/>
    <n v="0"/>
    <n v="1"/>
    <x v="6"/>
    <x v="8"/>
    <s v="Y"/>
    <s v="Y"/>
    <m/>
    <m/>
    <m/>
    <m/>
    <m/>
    <m/>
    <m/>
    <m/>
    <m/>
    <m/>
    <n v="110"/>
    <n v="101"/>
    <n v="6"/>
    <n v="5"/>
    <n v="6"/>
    <n v="5"/>
    <n v="0"/>
    <n v="0"/>
    <n v="0"/>
  </r>
  <r>
    <s v="1_7_B1B"/>
    <x v="0"/>
    <x v="1"/>
    <s v="b3"/>
    <s v="b4"/>
    <s v="B"/>
    <s v="r1"/>
    <s v="r2"/>
    <s v="b1"/>
    <s v="b2"/>
    <s v="b3"/>
    <s v="b4"/>
    <b v="0"/>
    <m/>
    <n v="1"/>
    <n v="1"/>
    <x v="3"/>
    <n v="1"/>
    <n v="1"/>
    <n v="0"/>
    <n v="1"/>
    <x v="7"/>
    <x v="8"/>
    <s v="Y"/>
    <s v="Y"/>
    <m/>
    <m/>
    <m/>
    <m/>
    <m/>
    <m/>
    <m/>
    <m/>
    <m/>
    <m/>
    <n v="111"/>
    <n v="111"/>
    <n v="7"/>
    <n v="7"/>
    <n v="7"/>
    <n v="7"/>
    <n v="0"/>
    <n v="0"/>
    <n v="0"/>
  </r>
  <r>
    <s v="2_0_B1B"/>
    <x v="0"/>
    <x v="0"/>
    <m/>
    <m/>
    <s v="B"/>
    <m/>
    <m/>
    <s v="b1"/>
    <m/>
    <m/>
    <m/>
    <b v="0"/>
    <m/>
    <n v="0"/>
    <n v="2"/>
    <x v="0"/>
    <n v="0"/>
    <n v="2"/>
    <n v="0"/>
    <n v="2"/>
    <x v="0"/>
    <x v="8"/>
    <s v="Y"/>
    <s v="Y"/>
    <m/>
    <m/>
    <m/>
    <m/>
    <m/>
    <m/>
    <m/>
    <m/>
    <m/>
    <m/>
    <n v="0"/>
    <n v="1"/>
    <n v="0"/>
    <n v="1"/>
    <n v="0"/>
    <n v="1"/>
    <n v="0"/>
    <n v="0"/>
    <n v="0"/>
  </r>
  <r>
    <s v="2_1_B1B"/>
    <x v="0"/>
    <x v="1"/>
    <m/>
    <m/>
    <s v="B"/>
    <s v="r1"/>
    <m/>
    <s v="b1"/>
    <s v="b2"/>
    <m/>
    <m/>
    <b v="0"/>
    <m/>
    <n v="0"/>
    <n v="2"/>
    <x v="1"/>
    <n v="0"/>
    <n v="2"/>
    <n v="0"/>
    <n v="2"/>
    <x v="1"/>
    <x v="8"/>
    <s v="Y"/>
    <s v="Y"/>
    <m/>
    <m/>
    <m/>
    <m/>
    <m/>
    <m/>
    <m/>
    <m/>
    <m/>
    <m/>
    <n v="1"/>
    <n v="11"/>
    <n v="1"/>
    <n v="4"/>
    <n v="1"/>
    <n v="4"/>
    <n v="0"/>
    <n v="0"/>
    <n v="0"/>
  </r>
  <r>
    <s v="2_2_B1B"/>
    <x v="0"/>
    <x v="0"/>
    <s v="b3"/>
    <m/>
    <s v="B"/>
    <m/>
    <s v="r2"/>
    <s v="b1"/>
    <m/>
    <s v="b3"/>
    <m/>
    <b v="0"/>
    <m/>
    <n v="0"/>
    <n v="2"/>
    <x v="2"/>
    <n v="0"/>
    <n v="2"/>
    <n v="0"/>
    <n v="2"/>
    <x v="2"/>
    <x v="8"/>
    <s v="Y"/>
    <s v="Y"/>
    <m/>
    <m/>
    <m/>
    <m/>
    <m/>
    <m/>
    <m/>
    <m/>
    <m/>
    <m/>
    <n v="10"/>
    <n v="101"/>
    <n v="2"/>
    <n v="5"/>
    <n v="2"/>
    <n v="5"/>
    <n v="0"/>
    <n v="0"/>
    <n v="0"/>
  </r>
  <r>
    <s v="2_3_B1B"/>
    <x v="0"/>
    <x v="0"/>
    <m/>
    <s v="b4"/>
    <s v="B"/>
    <m/>
    <m/>
    <s v="b1"/>
    <m/>
    <m/>
    <s v="b4"/>
    <b v="0"/>
    <m/>
    <n v="1"/>
    <n v="2"/>
    <x v="0"/>
    <n v="1"/>
    <n v="2"/>
    <n v="0"/>
    <n v="2"/>
    <x v="3"/>
    <x v="8"/>
    <s v="Y"/>
    <s v="Y"/>
    <m/>
    <m/>
    <m/>
    <m/>
    <m/>
    <m/>
    <m/>
    <m/>
    <m/>
    <m/>
    <n v="100"/>
    <n v="1"/>
    <n v="3"/>
    <n v="1"/>
    <n v="3"/>
    <n v="1"/>
    <n v="0"/>
    <n v="0"/>
    <n v="0"/>
  </r>
  <r>
    <s v="2_4_B1B"/>
    <x v="0"/>
    <x v="1"/>
    <s v="b3"/>
    <m/>
    <s v="B"/>
    <s v="r1"/>
    <s v="r2"/>
    <s v="b1"/>
    <s v="b2"/>
    <s v="b3"/>
    <m/>
    <b v="0"/>
    <m/>
    <n v="0"/>
    <n v="2"/>
    <x v="3"/>
    <n v="0"/>
    <n v="2"/>
    <n v="0"/>
    <n v="2"/>
    <x v="4"/>
    <x v="8"/>
    <s v="Y"/>
    <s v="Y"/>
    <m/>
    <m/>
    <m/>
    <m/>
    <m/>
    <m/>
    <m/>
    <m/>
    <m/>
    <m/>
    <n v="11"/>
    <n v="111"/>
    <n v="4"/>
    <n v="7"/>
    <n v="4"/>
    <n v="7"/>
    <n v="0"/>
    <n v="0"/>
    <n v="0"/>
  </r>
  <r>
    <s v="2_5_B1B"/>
    <x v="0"/>
    <x v="1"/>
    <m/>
    <s v="b4"/>
    <s v="B"/>
    <s v="r1"/>
    <m/>
    <s v="b1"/>
    <s v="b2"/>
    <m/>
    <s v="b4"/>
    <b v="0"/>
    <m/>
    <n v="1"/>
    <n v="2"/>
    <x v="1"/>
    <n v="1"/>
    <n v="2"/>
    <n v="0"/>
    <n v="2"/>
    <x v="5"/>
    <x v="8"/>
    <s v="Y"/>
    <s v="Y"/>
    <m/>
    <m/>
    <m/>
    <m/>
    <m/>
    <m/>
    <m/>
    <m/>
    <m/>
    <m/>
    <n v="101"/>
    <n v="11"/>
    <n v="5"/>
    <n v="4"/>
    <n v="5"/>
    <n v="4"/>
    <n v="0"/>
    <n v="0"/>
    <n v="0"/>
  </r>
  <r>
    <s v="2_6_B1B"/>
    <x v="0"/>
    <x v="0"/>
    <s v="b3"/>
    <s v="b4"/>
    <s v="B"/>
    <m/>
    <s v="r2"/>
    <s v="b1"/>
    <m/>
    <s v="b3"/>
    <s v="b4"/>
    <b v="0"/>
    <m/>
    <n v="1"/>
    <n v="2"/>
    <x v="2"/>
    <n v="1"/>
    <n v="2"/>
    <n v="0"/>
    <n v="2"/>
    <x v="6"/>
    <x v="8"/>
    <s v="Y"/>
    <s v="Y"/>
    <m/>
    <m/>
    <m/>
    <m/>
    <m/>
    <m/>
    <m/>
    <m/>
    <m/>
    <m/>
    <n v="110"/>
    <n v="101"/>
    <n v="6"/>
    <n v="5"/>
    <n v="6"/>
    <n v="5"/>
    <n v="0"/>
    <n v="0"/>
    <n v="0"/>
  </r>
  <r>
    <s v="2_7_B1B"/>
    <x v="0"/>
    <x v="1"/>
    <s v="b3"/>
    <s v="b4"/>
    <s v="B"/>
    <s v="r1"/>
    <s v="r2"/>
    <s v="b1"/>
    <s v="b2"/>
    <s v="b3"/>
    <s v="b4"/>
    <b v="0"/>
    <m/>
    <n v="1"/>
    <n v="2"/>
    <x v="3"/>
    <n v="1"/>
    <n v="2"/>
    <n v="0"/>
    <n v="2"/>
    <x v="7"/>
    <x v="8"/>
    <s v="Y"/>
    <s v="Y"/>
    <m/>
    <m/>
    <m/>
    <m/>
    <m/>
    <m/>
    <m/>
    <m/>
    <m/>
    <m/>
    <n v="111"/>
    <n v="111"/>
    <n v="7"/>
    <n v="7"/>
    <n v="7"/>
    <n v="7"/>
    <n v="0"/>
    <n v="0"/>
    <n v="0"/>
  </r>
  <r>
    <s v="0_1_B1BWH"/>
    <x v="0"/>
    <x v="2"/>
    <m/>
    <m/>
    <s v="B"/>
    <m/>
    <s v="r1"/>
    <s v="b1"/>
    <s v="b3"/>
    <m/>
    <m/>
    <b v="0"/>
    <m/>
    <n v="0"/>
    <n v="0"/>
    <x v="2"/>
    <n v="0"/>
    <n v="0"/>
    <n v="0"/>
    <n v="0"/>
    <x v="1"/>
    <x v="9"/>
    <s v="Y"/>
    <s v="Y"/>
    <m/>
    <m/>
    <m/>
    <m/>
    <m/>
    <m/>
    <m/>
    <m/>
    <m/>
    <m/>
    <n v="1"/>
    <n v="101"/>
    <n v="1"/>
    <n v="5"/>
    <n v="1"/>
    <n v="5"/>
    <n v="0"/>
    <n v="0"/>
    <n v="0"/>
  </r>
  <r>
    <s v="0_2_B1BWH"/>
    <x v="0"/>
    <x v="0"/>
    <s v="b4"/>
    <m/>
    <s v="B"/>
    <m/>
    <m/>
    <s v="b1"/>
    <m/>
    <s v="b4"/>
    <m/>
    <b v="0"/>
    <m/>
    <n v="1"/>
    <n v="0"/>
    <x v="0"/>
    <n v="1"/>
    <n v="0"/>
    <n v="0"/>
    <n v="0"/>
    <x v="2"/>
    <x v="9"/>
    <s v="Y"/>
    <s v="Y"/>
    <m/>
    <m/>
    <m/>
    <m/>
    <m/>
    <m/>
    <m/>
    <m/>
    <m/>
    <m/>
    <n v="10"/>
    <n v="1"/>
    <n v="2"/>
    <n v="1"/>
    <n v="2"/>
    <n v="1"/>
    <n v="0"/>
    <n v="0"/>
    <n v="0"/>
  </r>
  <r>
    <s v="0_4_B1BWH"/>
    <x v="0"/>
    <x v="2"/>
    <s v="b4"/>
    <m/>
    <s v="B"/>
    <m/>
    <s v="r1"/>
    <s v="b1"/>
    <s v="b3"/>
    <s v="b4"/>
    <m/>
    <b v="0"/>
    <m/>
    <n v="1"/>
    <n v="0"/>
    <x v="2"/>
    <n v="1"/>
    <n v="0"/>
    <n v="0"/>
    <n v="0"/>
    <x v="4"/>
    <x v="9"/>
    <s v="Y"/>
    <s v="Y"/>
    <m/>
    <m/>
    <m/>
    <m/>
    <m/>
    <m/>
    <m/>
    <m/>
    <m/>
    <m/>
    <n v="11"/>
    <n v="101"/>
    <n v="4"/>
    <n v="5"/>
    <n v="4"/>
    <n v="5"/>
    <n v="0"/>
    <n v="0"/>
    <n v="0"/>
  </r>
  <r>
    <s v="0_5_B1BWH"/>
    <x v="0"/>
    <x v="2"/>
    <m/>
    <s v="b4"/>
    <s v="B"/>
    <m/>
    <s v="r1"/>
    <s v="b1"/>
    <s v="b3"/>
    <m/>
    <s v="b4"/>
    <b v="0"/>
    <m/>
    <n v="1"/>
    <n v="0"/>
    <x v="2"/>
    <n v="1"/>
    <n v="0"/>
    <n v="0"/>
    <n v="0"/>
    <x v="5"/>
    <x v="9"/>
    <s v="Y"/>
    <s v="Y"/>
    <m/>
    <m/>
    <m/>
    <m/>
    <m/>
    <m/>
    <m/>
    <m/>
    <m/>
    <m/>
    <n v="101"/>
    <n v="101"/>
    <n v="5"/>
    <n v="5"/>
    <n v="5"/>
    <n v="5"/>
    <n v="0"/>
    <n v="0"/>
    <n v="0"/>
  </r>
  <r>
    <s v="0_6_B1BWH"/>
    <x v="0"/>
    <x v="0"/>
    <s v="b4"/>
    <s v="b4"/>
    <s v="B"/>
    <m/>
    <m/>
    <s v="b1"/>
    <m/>
    <s v="b4"/>
    <s v="b4"/>
    <b v="0"/>
    <m/>
    <n v="2"/>
    <n v="0"/>
    <x v="0"/>
    <n v="2"/>
    <n v="0"/>
    <n v="0"/>
    <n v="0"/>
    <x v="6"/>
    <x v="9"/>
    <s v="Y"/>
    <s v="Y"/>
    <m/>
    <m/>
    <m/>
    <m/>
    <m/>
    <m/>
    <m/>
    <m/>
    <m/>
    <m/>
    <n v="110"/>
    <n v="1"/>
    <n v="6"/>
    <n v="1"/>
    <n v="6"/>
    <n v="1"/>
    <n v="0"/>
    <n v="0"/>
    <n v="0"/>
  </r>
  <r>
    <s v="0_7_B1BWH"/>
    <x v="0"/>
    <x v="2"/>
    <s v="b4"/>
    <s v="b4"/>
    <s v="B"/>
    <m/>
    <s v="r1"/>
    <s v="b1"/>
    <s v="b3"/>
    <s v="b4"/>
    <s v="b4"/>
    <b v="0"/>
    <m/>
    <n v="2"/>
    <n v="0"/>
    <x v="2"/>
    <n v="2"/>
    <n v="0"/>
    <n v="0"/>
    <n v="0"/>
    <x v="7"/>
    <x v="9"/>
    <s v="Y"/>
    <s v="Y"/>
    <m/>
    <m/>
    <m/>
    <m/>
    <m/>
    <m/>
    <m/>
    <m/>
    <m/>
    <m/>
    <n v="111"/>
    <n v="101"/>
    <n v="7"/>
    <n v="5"/>
    <n v="7"/>
    <n v="5"/>
    <n v="0"/>
    <n v="0"/>
    <n v="0"/>
  </r>
  <r>
    <s v="1_1_B1BWH"/>
    <x v="0"/>
    <x v="2"/>
    <m/>
    <m/>
    <s v="B"/>
    <m/>
    <s v="r1"/>
    <s v="b1"/>
    <s v="b3"/>
    <m/>
    <m/>
    <b v="0"/>
    <m/>
    <n v="0"/>
    <n v="1"/>
    <x v="2"/>
    <n v="0"/>
    <n v="1"/>
    <n v="0"/>
    <n v="1"/>
    <x v="1"/>
    <x v="9"/>
    <s v="Y"/>
    <s v="Y"/>
    <m/>
    <m/>
    <m/>
    <m/>
    <m/>
    <m/>
    <m/>
    <m/>
    <m/>
    <m/>
    <n v="1"/>
    <n v="101"/>
    <n v="1"/>
    <n v="5"/>
    <n v="1"/>
    <n v="5"/>
    <n v="0"/>
    <n v="0"/>
    <n v="0"/>
  </r>
  <r>
    <s v="1_2_B1BWH"/>
    <x v="0"/>
    <x v="0"/>
    <s v="b4"/>
    <m/>
    <s v="B"/>
    <m/>
    <m/>
    <s v="b1"/>
    <m/>
    <s v="b4"/>
    <m/>
    <b v="0"/>
    <m/>
    <n v="1"/>
    <n v="1"/>
    <x v="0"/>
    <n v="1"/>
    <n v="1"/>
    <n v="0"/>
    <n v="1"/>
    <x v="2"/>
    <x v="9"/>
    <s v="Y"/>
    <s v="Y"/>
    <m/>
    <m/>
    <m/>
    <m/>
    <m/>
    <m/>
    <m/>
    <m/>
    <m/>
    <m/>
    <n v="10"/>
    <n v="1"/>
    <n v="2"/>
    <n v="1"/>
    <n v="2"/>
    <n v="1"/>
    <n v="0"/>
    <n v="0"/>
    <n v="0"/>
  </r>
  <r>
    <s v="1_4_B1BWH"/>
    <x v="0"/>
    <x v="2"/>
    <s v="b4"/>
    <m/>
    <s v="B"/>
    <m/>
    <s v="r1"/>
    <s v="b1"/>
    <s v="b3"/>
    <s v="b4"/>
    <m/>
    <b v="0"/>
    <m/>
    <n v="1"/>
    <n v="1"/>
    <x v="2"/>
    <n v="1"/>
    <n v="1"/>
    <n v="0"/>
    <n v="1"/>
    <x v="4"/>
    <x v="9"/>
    <s v="Y"/>
    <s v="Y"/>
    <m/>
    <m/>
    <m/>
    <m/>
    <m/>
    <m/>
    <m/>
    <m/>
    <m/>
    <m/>
    <n v="11"/>
    <n v="101"/>
    <n v="4"/>
    <n v="5"/>
    <n v="4"/>
    <n v="5"/>
    <n v="0"/>
    <n v="0"/>
    <n v="0"/>
  </r>
  <r>
    <s v="1_5_B1BWH"/>
    <x v="0"/>
    <x v="2"/>
    <m/>
    <s v="b4"/>
    <s v="B"/>
    <m/>
    <s v="r1"/>
    <s v="b1"/>
    <s v="b3"/>
    <m/>
    <s v="b4"/>
    <b v="0"/>
    <m/>
    <n v="1"/>
    <n v="1"/>
    <x v="2"/>
    <n v="1"/>
    <n v="1"/>
    <n v="0"/>
    <n v="1"/>
    <x v="5"/>
    <x v="9"/>
    <s v="Y"/>
    <s v="Y"/>
    <m/>
    <m/>
    <m/>
    <m/>
    <m/>
    <m/>
    <m/>
    <m/>
    <m/>
    <m/>
    <n v="101"/>
    <n v="101"/>
    <n v="5"/>
    <n v="5"/>
    <n v="5"/>
    <n v="5"/>
    <n v="0"/>
    <n v="0"/>
    <n v="0"/>
  </r>
  <r>
    <s v="1_6_B1BWH"/>
    <x v="0"/>
    <x v="0"/>
    <s v="b4"/>
    <s v="b4"/>
    <s v="B"/>
    <m/>
    <m/>
    <s v="b1"/>
    <m/>
    <s v="b4"/>
    <s v="b4"/>
    <b v="0"/>
    <m/>
    <n v="2"/>
    <n v="1"/>
    <x v="0"/>
    <n v="2"/>
    <n v="1"/>
    <n v="0"/>
    <n v="1"/>
    <x v="6"/>
    <x v="9"/>
    <s v="Y"/>
    <s v="Y"/>
    <m/>
    <m/>
    <m/>
    <m/>
    <m/>
    <m/>
    <m/>
    <m/>
    <m/>
    <m/>
    <n v="110"/>
    <n v="1"/>
    <n v="6"/>
    <n v="1"/>
    <n v="6"/>
    <n v="1"/>
    <n v="0"/>
    <n v="0"/>
    <n v="0"/>
  </r>
  <r>
    <s v="1_7_B1BWH"/>
    <x v="0"/>
    <x v="2"/>
    <s v="b4"/>
    <s v="b4"/>
    <s v="B"/>
    <m/>
    <s v="r1"/>
    <s v="b1"/>
    <s v="b3"/>
    <s v="b4"/>
    <s v="b4"/>
    <b v="0"/>
    <m/>
    <n v="2"/>
    <n v="1"/>
    <x v="2"/>
    <n v="2"/>
    <n v="1"/>
    <n v="0"/>
    <n v="1"/>
    <x v="7"/>
    <x v="9"/>
    <s v="Y"/>
    <s v="Y"/>
    <m/>
    <m/>
    <m/>
    <m/>
    <m/>
    <m/>
    <m/>
    <m/>
    <m/>
    <m/>
    <n v="111"/>
    <n v="101"/>
    <n v="7"/>
    <n v="5"/>
    <n v="7"/>
    <n v="5"/>
    <n v="0"/>
    <n v="0"/>
    <n v="0"/>
  </r>
  <r>
    <s v="2_1_B1BWH"/>
    <x v="0"/>
    <x v="2"/>
    <m/>
    <m/>
    <s v="B"/>
    <m/>
    <s v="r1"/>
    <s v="b1"/>
    <s v="b3"/>
    <m/>
    <m/>
    <b v="0"/>
    <m/>
    <n v="0"/>
    <n v="2"/>
    <x v="2"/>
    <n v="0"/>
    <n v="2"/>
    <n v="0"/>
    <n v="2"/>
    <x v="1"/>
    <x v="9"/>
    <s v="Y"/>
    <s v="Y"/>
    <m/>
    <m/>
    <m/>
    <m/>
    <m/>
    <m/>
    <m/>
    <m/>
    <m/>
    <m/>
    <n v="1"/>
    <n v="101"/>
    <n v="1"/>
    <n v="5"/>
    <n v="1"/>
    <n v="5"/>
    <n v="0"/>
    <n v="0"/>
    <n v="0"/>
  </r>
  <r>
    <s v="2_2_B1BWH"/>
    <x v="0"/>
    <x v="0"/>
    <s v="b4"/>
    <m/>
    <s v="B"/>
    <m/>
    <m/>
    <s v="b1"/>
    <m/>
    <s v="b4"/>
    <m/>
    <b v="0"/>
    <m/>
    <n v="1"/>
    <n v="2"/>
    <x v="0"/>
    <n v="1"/>
    <n v="2"/>
    <n v="0"/>
    <n v="2"/>
    <x v="2"/>
    <x v="9"/>
    <s v="Y"/>
    <s v="Y"/>
    <m/>
    <m/>
    <m/>
    <m/>
    <m/>
    <m/>
    <m/>
    <m/>
    <m/>
    <m/>
    <n v="10"/>
    <n v="1"/>
    <n v="2"/>
    <n v="1"/>
    <n v="2"/>
    <n v="1"/>
    <n v="0"/>
    <n v="0"/>
    <n v="0"/>
  </r>
  <r>
    <s v="2_4_B1BWH"/>
    <x v="0"/>
    <x v="2"/>
    <s v="b4"/>
    <m/>
    <s v="B"/>
    <m/>
    <s v="r1"/>
    <s v="b1"/>
    <s v="b3"/>
    <s v="b4"/>
    <m/>
    <b v="0"/>
    <m/>
    <n v="1"/>
    <n v="2"/>
    <x v="2"/>
    <n v="1"/>
    <n v="2"/>
    <n v="0"/>
    <n v="2"/>
    <x v="4"/>
    <x v="9"/>
    <s v="Y"/>
    <s v="Y"/>
    <m/>
    <m/>
    <m/>
    <m/>
    <m/>
    <m/>
    <m/>
    <m/>
    <m/>
    <m/>
    <n v="11"/>
    <n v="101"/>
    <n v="4"/>
    <n v="5"/>
    <n v="4"/>
    <n v="5"/>
    <n v="0"/>
    <n v="0"/>
    <n v="0"/>
  </r>
  <r>
    <s v="2_5_B1BWH"/>
    <x v="0"/>
    <x v="2"/>
    <m/>
    <s v="b4"/>
    <s v="B"/>
    <m/>
    <s v="r1"/>
    <s v="b1"/>
    <s v="b3"/>
    <m/>
    <s v="b4"/>
    <b v="0"/>
    <m/>
    <n v="1"/>
    <n v="2"/>
    <x v="2"/>
    <n v="1"/>
    <n v="2"/>
    <n v="0"/>
    <n v="2"/>
    <x v="5"/>
    <x v="9"/>
    <s v="Y"/>
    <s v="Y"/>
    <m/>
    <m/>
    <m/>
    <m/>
    <m/>
    <m/>
    <m/>
    <m/>
    <m/>
    <m/>
    <n v="101"/>
    <n v="101"/>
    <n v="5"/>
    <n v="5"/>
    <n v="5"/>
    <n v="5"/>
    <n v="0"/>
    <n v="0"/>
    <n v="0"/>
  </r>
  <r>
    <s v="2_6_B1BWH"/>
    <x v="0"/>
    <x v="0"/>
    <s v="b4"/>
    <s v="b4"/>
    <s v="B"/>
    <m/>
    <m/>
    <s v="b1"/>
    <m/>
    <s v="b4"/>
    <s v="b4"/>
    <b v="0"/>
    <m/>
    <n v="2"/>
    <n v="2"/>
    <x v="0"/>
    <n v="2"/>
    <n v="2"/>
    <n v="0"/>
    <n v="2"/>
    <x v="6"/>
    <x v="9"/>
    <s v="Y"/>
    <s v="Y"/>
    <m/>
    <m/>
    <m/>
    <m/>
    <m/>
    <m/>
    <m/>
    <m/>
    <m/>
    <m/>
    <n v="110"/>
    <n v="1"/>
    <n v="6"/>
    <n v="1"/>
    <n v="6"/>
    <n v="1"/>
    <n v="0"/>
    <n v="0"/>
    <n v="0"/>
  </r>
  <r>
    <s v="2_7_B1BWH"/>
    <x v="0"/>
    <x v="2"/>
    <s v="b4"/>
    <s v="b4"/>
    <s v="B"/>
    <m/>
    <s v="r1"/>
    <s v="b1"/>
    <s v="b3"/>
    <s v="b4"/>
    <s v="b4"/>
    <b v="0"/>
    <m/>
    <n v="2"/>
    <n v="2"/>
    <x v="2"/>
    <n v="2"/>
    <n v="2"/>
    <n v="0"/>
    <n v="2"/>
    <x v="7"/>
    <x v="9"/>
    <s v="Y"/>
    <s v="Y"/>
    <m/>
    <m/>
    <m/>
    <m/>
    <m/>
    <m/>
    <m/>
    <m/>
    <m/>
    <m/>
    <n v="111"/>
    <n v="101"/>
    <n v="7"/>
    <n v="5"/>
    <n v="7"/>
    <n v="5"/>
    <n v="0"/>
    <n v="0"/>
    <n v="0"/>
  </r>
  <r>
    <s v="0_0_BB"/>
    <x v="0"/>
    <x v="0"/>
    <m/>
    <m/>
    <s v="B"/>
    <m/>
    <m/>
    <s v="b1"/>
    <m/>
    <m/>
    <m/>
    <b v="0"/>
    <m/>
    <n v="0"/>
    <n v="0"/>
    <x v="0"/>
    <n v="0"/>
    <n v="0"/>
    <n v="0"/>
    <n v="0"/>
    <x v="0"/>
    <x v="10"/>
    <s v="N"/>
    <s v="N"/>
    <m/>
    <m/>
    <m/>
    <m/>
    <m/>
    <m/>
    <m/>
    <m/>
    <m/>
    <m/>
    <n v="0"/>
    <n v="1"/>
    <n v="0"/>
    <n v="1"/>
    <n v="0"/>
    <n v="1"/>
    <n v="0"/>
    <n v="0"/>
    <n v="0"/>
  </r>
  <r>
    <s v="0_1_BB"/>
    <x v="0"/>
    <x v="1"/>
    <m/>
    <m/>
    <s v="B"/>
    <s v="r1"/>
    <m/>
    <s v="b1"/>
    <s v="b2"/>
    <m/>
    <m/>
    <b v="0"/>
    <m/>
    <n v="0"/>
    <n v="0"/>
    <x v="1"/>
    <n v="0"/>
    <n v="0"/>
    <n v="0"/>
    <n v="0"/>
    <x v="1"/>
    <x v="10"/>
    <s v="N"/>
    <s v="N"/>
    <m/>
    <m/>
    <m/>
    <m/>
    <m/>
    <m/>
    <m/>
    <m/>
    <m/>
    <m/>
    <n v="1"/>
    <n v="11"/>
    <n v="1"/>
    <n v="4"/>
    <n v="1"/>
    <n v="4"/>
    <n v="0"/>
    <n v="0"/>
    <n v="0"/>
  </r>
  <r>
    <s v="0_2_BB"/>
    <x v="0"/>
    <x v="0"/>
    <s v="b2"/>
    <m/>
    <s v="B"/>
    <s v="r2"/>
    <m/>
    <s v="b1"/>
    <m/>
    <s v="b2"/>
    <m/>
    <b v="0"/>
    <m/>
    <n v="0"/>
    <n v="0"/>
    <x v="1"/>
    <n v="0"/>
    <n v="0"/>
    <n v="0"/>
    <n v="0"/>
    <x v="2"/>
    <x v="10"/>
    <s v="N"/>
    <s v="N"/>
    <m/>
    <m/>
    <m/>
    <m/>
    <m/>
    <m/>
    <m/>
    <m/>
    <m/>
    <m/>
    <n v="10"/>
    <n v="11"/>
    <n v="2"/>
    <n v="4"/>
    <n v="2"/>
    <n v="4"/>
    <n v="0"/>
    <n v="0"/>
    <n v="0"/>
  </r>
  <r>
    <s v="0_3_BB"/>
    <x v="0"/>
    <x v="0"/>
    <m/>
    <s v="b3"/>
    <s v="B"/>
    <m/>
    <s v="r3"/>
    <s v="b1"/>
    <m/>
    <m/>
    <s v="b3"/>
    <b v="0"/>
    <m/>
    <n v="0"/>
    <n v="0"/>
    <x v="2"/>
    <n v="0"/>
    <n v="0"/>
    <n v="0"/>
    <n v="0"/>
    <x v="3"/>
    <x v="10"/>
    <s v="N"/>
    <s v="N"/>
    <m/>
    <m/>
    <m/>
    <m/>
    <m/>
    <m/>
    <m/>
    <m/>
    <m/>
    <m/>
    <n v="100"/>
    <n v="101"/>
    <n v="3"/>
    <n v="5"/>
    <n v="3"/>
    <n v="5"/>
    <n v="0"/>
    <n v="0"/>
    <n v="0"/>
  </r>
  <r>
    <s v="0_4_BB"/>
    <x v="0"/>
    <x v="1"/>
    <s v="b3"/>
    <m/>
    <s v="B"/>
    <s v="r1"/>
    <s v="r2"/>
    <s v="b1"/>
    <s v="b2"/>
    <s v="b3"/>
    <m/>
    <b v="0"/>
    <m/>
    <n v="0"/>
    <n v="0"/>
    <x v="3"/>
    <n v="0"/>
    <n v="0"/>
    <n v="0"/>
    <n v="0"/>
    <x v="4"/>
    <x v="10"/>
    <s v="N"/>
    <s v="N"/>
    <m/>
    <m/>
    <m/>
    <m/>
    <m/>
    <m/>
    <m/>
    <m/>
    <m/>
    <m/>
    <n v="11"/>
    <n v="111"/>
    <n v="4"/>
    <n v="7"/>
    <n v="4"/>
    <n v="7"/>
    <n v="0"/>
    <n v="0"/>
    <n v="0"/>
  </r>
  <r>
    <s v="0_5_BB"/>
    <x v="0"/>
    <x v="1"/>
    <m/>
    <s v="b3"/>
    <s v="B"/>
    <s v="r1"/>
    <s v="r3"/>
    <s v="b1"/>
    <s v="b2"/>
    <m/>
    <s v="b3"/>
    <b v="0"/>
    <m/>
    <n v="0"/>
    <n v="0"/>
    <x v="3"/>
    <n v="0"/>
    <n v="0"/>
    <n v="0"/>
    <n v="0"/>
    <x v="5"/>
    <x v="10"/>
    <s v="N"/>
    <s v="N"/>
    <m/>
    <m/>
    <m/>
    <m/>
    <m/>
    <m/>
    <m/>
    <m/>
    <m/>
    <m/>
    <n v="101"/>
    <n v="111"/>
    <n v="5"/>
    <n v="7"/>
    <n v="5"/>
    <n v="7"/>
    <n v="0"/>
    <n v="0"/>
    <n v="0"/>
  </r>
  <r>
    <s v="0_6_BB"/>
    <x v="0"/>
    <x v="0"/>
    <s v="b2"/>
    <s v="b3"/>
    <s v="B"/>
    <s v="r2"/>
    <s v="r3"/>
    <s v="b1"/>
    <m/>
    <s v="b2"/>
    <s v="b3"/>
    <b v="0"/>
    <m/>
    <n v="0"/>
    <n v="0"/>
    <x v="3"/>
    <n v="0"/>
    <n v="0"/>
    <n v="0"/>
    <n v="0"/>
    <x v="6"/>
    <x v="10"/>
    <s v="N"/>
    <s v="N"/>
    <m/>
    <m/>
    <m/>
    <m/>
    <m/>
    <m/>
    <m/>
    <m/>
    <m/>
    <m/>
    <n v="110"/>
    <n v="111"/>
    <n v="6"/>
    <n v="7"/>
    <n v="6"/>
    <n v="7"/>
    <n v="0"/>
    <n v="0"/>
    <n v="0"/>
  </r>
  <r>
    <s v="0_7_BB"/>
    <x v="0"/>
    <x v="1"/>
    <s v="b3"/>
    <s v="b4"/>
    <s v="B"/>
    <s v="r1"/>
    <s v="r2"/>
    <s v="b1"/>
    <s v="b2"/>
    <s v="b3"/>
    <s v="b4"/>
    <b v="0"/>
    <m/>
    <n v="1"/>
    <n v="0"/>
    <x v="3"/>
    <n v="1"/>
    <n v="0"/>
    <n v="0"/>
    <n v="0"/>
    <x v="7"/>
    <x v="10"/>
    <s v="N"/>
    <s v="N"/>
    <m/>
    <m/>
    <m/>
    <m/>
    <m/>
    <m/>
    <m/>
    <m/>
    <m/>
    <m/>
    <n v="111"/>
    <n v="111"/>
    <n v="7"/>
    <n v="7"/>
    <n v="7"/>
    <n v="7"/>
    <n v="0"/>
    <n v="0"/>
    <n v="0"/>
  </r>
  <r>
    <s v="1_0_BB"/>
    <x v="0"/>
    <x v="0"/>
    <m/>
    <m/>
    <s v="B"/>
    <m/>
    <m/>
    <s v="b1"/>
    <m/>
    <m/>
    <m/>
    <b v="0"/>
    <m/>
    <n v="0"/>
    <n v="1"/>
    <x v="0"/>
    <n v="0"/>
    <n v="1"/>
    <n v="0"/>
    <n v="1"/>
    <x v="0"/>
    <x v="10"/>
    <s v="N"/>
    <s v="N"/>
    <m/>
    <m/>
    <m/>
    <m/>
    <m/>
    <m/>
    <m/>
    <m/>
    <m/>
    <m/>
    <n v="0"/>
    <n v="1"/>
    <n v="0"/>
    <n v="1"/>
    <n v="0"/>
    <n v="1"/>
    <n v="0"/>
    <n v="0"/>
    <n v="0"/>
  </r>
  <r>
    <s v="1_1_BB"/>
    <x v="0"/>
    <x v="1"/>
    <m/>
    <m/>
    <s v="B"/>
    <s v="r1"/>
    <m/>
    <s v="b1"/>
    <s v="b2"/>
    <m/>
    <m/>
    <b v="0"/>
    <m/>
    <n v="0"/>
    <n v="1"/>
    <x v="1"/>
    <n v="0"/>
    <n v="1"/>
    <n v="0"/>
    <n v="1"/>
    <x v="1"/>
    <x v="10"/>
    <s v="N"/>
    <s v="N"/>
    <m/>
    <m/>
    <m/>
    <m/>
    <m/>
    <m/>
    <m/>
    <m/>
    <m/>
    <m/>
    <n v="1"/>
    <n v="11"/>
    <n v="1"/>
    <n v="4"/>
    <n v="1"/>
    <n v="4"/>
    <n v="0"/>
    <n v="0"/>
    <n v="0"/>
  </r>
  <r>
    <s v="1_2_BB"/>
    <x v="0"/>
    <x v="0"/>
    <s v="b2"/>
    <m/>
    <s v="B"/>
    <s v="r2"/>
    <m/>
    <s v="b1"/>
    <m/>
    <s v="b2"/>
    <m/>
    <b v="0"/>
    <m/>
    <n v="0"/>
    <n v="1"/>
    <x v="1"/>
    <n v="0"/>
    <n v="1"/>
    <n v="0"/>
    <n v="1"/>
    <x v="2"/>
    <x v="10"/>
    <s v="N"/>
    <s v="N"/>
    <m/>
    <m/>
    <m/>
    <m/>
    <m/>
    <m/>
    <m/>
    <m/>
    <m/>
    <m/>
    <n v="10"/>
    <n v="11"/>
    <n v="2"/>
    <n v="4"/>
    <n v="2"/>
    <n v="4"/>
    <n v="0"/>
    <n v="0"/>
    <n v="0"/>
  </r>
  <r>
    <s v="1_3_BB"/>
    <x v="0"/>
    <x v="0"/>
    <m/>
    <s v="b3"/>
    <s v="B"/>
    <m/>
    <s v="r3"/>
    <s v="b1"/>
    <m/>
    <m/>
    <s v="b3"/>
    <b v="0"/>
    <m/>
    <n v="0"/>
    <n v="1"/>
    <x v="2"/>
    <n v="0"/>
    <n v="1"/>
    <n v="0"/>
    <n v="1"/>
    <x v="3"/>
    <x v="10"/>
    <s v="N"/>
    <s v="N"/>
    <m/>
    <m/>
    <m/>
    <m/>
    <m/>
    <m/>
    <m/>
    <m/>
    <m/>
    <m/>
    <n v="100"/>
    <n v="101"/>
    <n v="3"/>
    <n v="5"/>
    <n v="3"/>
    <n v="5"/>
    <n v="0"/>
    <n v="0"/>
    <n v="0"/>
  </r>
  <r>
    <s v="1_4_BB"/>
    <x v="0"/>
    <x v="1"/>
    <s v="b3"/>
    <m/>
    <s v="B"/>
    <s v="r1"/>
    <s v="r2"/>
    <s v="b1"/>
    <s v="b2"/>
    <s v="b3"/>
    <m/>
    <b v="0"/>
    <m/>
    <n v="0"/>
    <n v="1"/>
    <x v="3"/>
    <n v="0"/>
    <n v="1"/>
    <n v="0"/>
    <n v="1"/>
    <x v="4"/>
    <x v="10"/>
    <s v="N"/>
    <s v="N"/>
    <m/>
    <m/>
    <m/>
    <m/>
    <m/>
    <m/>
    <m/>
    <m/>
    <m/>
    <m/>
    <n v="11"/>
    <n v="111"/>
    <n v="4"/>
    <n v="7"/>
    <n v="4"/>
    <n v="7"/>
    <n v="0"/>
    <n v="0"/>
    <n v="0"/>
  </r>
  <r>
    <s v="1_5_BB"/>
    <x v="0"/>
    <x v="1"/>
    <m/>
    <s v="b3"/>
    <s v="B"/>
    <s v="r1"/>
    <s v="r3"/>
    <s v="b1"/>
    <s v="b2"/>
    <m/>
    <s v="b3"/>
    <b v="0"/>
    <m/>
    <n v="0"/>
    <n v="1"/>
    <x v="3"/>
    <n v="0"/>
    <n v="1"/>
    <n v="0"/>
    <n v="1"/>
    <x v="5"/>
    <x v="10"/>
    <s v="N"/>
    <s v="N"/>
    <m/>
    <m/>
    <m/>
    <m/>
    <m/>
    <m/>
    <m/>
    <m/>
    <m/>
    <m/>
    <n v="101"/>
    <n v="111"/>
    <n v="5"/>
    <n v="7"/>
    <n v="5"/>
    <n v="7"/>
    <n v="0"/>
    <n v="0"/>
    <n v="0"/>
  </r>
  <r>
    <s v="1_6_BB"/>
    <x v="0"/>
    <x v="0"/>
    <s v="b2"/>
    <s v="b3"/>
    <s v="B"/>
    <s v="r2"/>
    <s v="r3"/>
    <s v="b1"/>
    <m/>
    <s v="b2"/>
    <s v="b3"/>
    <b v="0"/>
    <m/>
    <n v="0"/>
    <n v="1"/>
    <x v="3"/>
    <n v="0"/>
    <n v="1"/>
    <n v="0"/>
    <n v="1"/>
    <x v="6"/>
    <x v="10"/>
    <s v="N"/>
    <s v="N"/>
    <m/>
    <m/>
    <m/>
    <m/>
    <m/>
    <m/>
    <m/>
    <m/>
    <m/>
    <m/>
    <n v="110"/>
    <n v="111"/>
    <n v="6"/>
    <n v="7"/>
    <n v="6"/>
    <n v="7"/>
    <n v="0"/>
    <n v="0"/>
    <n v="0"/>
  </r>
  <r>
    <s v="1_7_BB"/>
    <x v="0"/>
    <x v="1"/>
    <s v="b3"/>
    <s v="b4"/>
    <s v="B"/>
    <s v="r1"/>
    <s v="r2"/>
    <s v="b1"/>
    <s v="b2"/>
    <s v="b3"/>
    <s v="b4"/>
    <b v="0"/>
    <m/>
    <n v="1"/>
    <n v="1"/>
    <x v="3"/>
    <n v="1"/>
    <n v="1"/>
    <n v="0"/>
    <n v="1"/>
    <x v="7"/>
    <x v="10"/>
    <s v="N"/>
    <s v="N"/>
    <m/>
    <m/>
    <m/>
    <m/>
    <m/>
    <m/>
    <m/>
    <m/>
    <m/>
    <m/>
    <n v="111"/>
    <n v="111"/>
    <n v="7"/>
    <n v="7"/>
    <n v="7"/>
    <n v="7"/>
    <n v="0"/>
    <n v="0"/>
    <n v="0"/>
  </r>
  <r>
    <s v="2_0_BB"/>
    <x v="0"/>
    <x v="0"/>
    <m/>
    <m/>
    <s v="B"/>
    <m/>
    <m/>
    <s v="b1"/>
    <m/>
    <m/>
    <m/>
    <b v="0"/>
    <m/>
    <n v="0"/>
    <n v="2"/>
    <x v="0"/>
    <n v="0"/>
    <n v="2"/>
    <n v="0"/>
    <n v="2"/>
    <x v="0"/>
    <x v="10"/>
    <s v="N"/>
    <s v="N"/>
    <m/>
    <m/>
    <m/>
    <m/>
    <m/>
    <m/>
    <m/>
    <m/>
    <m/>
    <m/>
    <n v="0"/>
    <n v="1"/>
    <n v="0"/>
    <n v="1"/>
    <n v="0"/>
    <n v="1"/>
    <n v="0"/>
    <n v="0"/>
    <n v="0"/>
  </r>
  <r>
    <s v="2_1_BB"/>
    <x v="0"/>
    <x v="1"/>
    <m/>
    <m/>
    <s v="B"/>
    <s v="r1"/>
    <m/>
    <s v="b1"/>
    <s v="b2"/>
    <m/>
    <m/>
    <b v="0"/>
    <m/>
    <n v="0"/>
    <n v="2"/>
    <x v="1"/>
    <n v="0"/>
    <n v="2"/>
    <n v="0"/>
    <n v="2"/>
    <x v="1"/>
    <x v="10"/>
    <s v="N"/>
    <s v="N"/>
    <m/>
    <m/>
    <m/>
    <m/>
    <m/>
    <m/>
    <m/>
    <m/>
    <m/>
    <m/>
    <n v="1"/>
    <n v="11"/>
    <n v="1"/>
    <n v="4"/>
    <n v="1"/>
    <n v="4"/>
    <n v="0"/>
    <n v="0"/>
    <n v="0"/>
  </r>
  <r>
    <s v="2_2_BB"/>
    <x v="0"/>
    <x v="0"/>
    <s v="b2"/>
    <m/>
    <s v="B"/>
    <s v="r2"/>
    <m/>
    <s v="b1"/>
    <m/>
    <s v="b2"/>
    <m/>
    <b v="0"/>
    <m/>
    <n v="0"/>
    <n v="2"/>
    <x v="1"/>
    <n v="0"/>
    <n v="2"/>
    <n v="0"/>
    <n v="2"/>
    <x v="2"/>
    <x v="10"/>
    <s v="N"/>
    <s v="N"/>
    <m/>
    <m/>
    <m/>
    <m/>
    <m/>
    <m/>
    <m/>
    <m/>
    <m/>
    <m/>
    <n v="10"/>
    <n v="11"/>
    <n v="2"/>
    <n v="4"/>
    <n v="2"/>
    <n v="4"/>
    <n v="0"/>
    <n v="0"/>
    <n v="0"/>
  </r>
  <r>
    <s v="2_3_BB"/>
    <x v="0"/>
    <x v="0"/>
    <m/>
    <s v="b3"/>
    <s v="B"/>
    <m/>
    <s v="r3"/>
    <s v="b1"/>
    <m/>
    <m/>
    <s v="b3"/>
    <b v="0"/>
    <m/>
    <n v="0"/>
    <n v="2"/>
    <x v="2"/>
    <n v="0"/>
    <n v="2"/>
    <n v="0"/>
    <n v="2"/>
    <x v="3"/>
    <x v="10"/>
    <s v="N"/>
    <s v="N"/>
    <m/>
    <m/>
    <m/>
    <m/>
    <m/>
    <m/>
    <m/>
    <m/>
    <m/>
    <m/>
    <n v="100"/>
    <n v="101"/>
    <n v="3"/>
    <n v="5"/>
    <n v="3"/>
    <n v="5"/>
    <n v="0"/>
    <n v="0"/>
    <n v="0"/>
  </r>
  <r>
    <s v="2_4_BB"/>
    <x v="0"/>
    <x v="1"/>
    <s v="b3"/>
    <m/>
    <s v="B"/>
    <s v="r1"/>
    <s v="r2"/>
    <s v="b1"/>
    <s v="b2"/>
    <s v="b3"/>
    <m/>
    <b v="0"/>
    <m/>
    <n v="0"/>
    <n v="2"/>
    <x v="3"/>
    <n v="0"/>
    <n v="2"/>
    <n v="0"/>
    <n v="2"/>
    <x v="4"/>
    <x v="10"/>
    <s v="N"/>
    <s v="N"/>
    <m/>
    <m/>
    <m/>
    <m/>
    <m/>
    <m/>
    <m/>
    <m/>
    <m/>
    <m/>
    <n v="11"/>
    <n v="111"/>
    <n v="4"/>
    <n v="7"/>
    <n v="4"/>
    <n v="7"/>
    <n v="0"/>
    <n v="0"/>
    <n v="0"/>
  </r>
  <r>
    <s v="2_5_BB"/>
    <x v="0"/>
    <x v="1"/>
    <m/>
    <s v="b3"/>
    <s v="B"/>
    <s v="r1"/>
    <s v="r3"/>
    <s v="b1"/>
    <s v="b2"/>
    <m/>
    <s v="b3"/>
    <b v="0"/>
    <m/>
    <n v="0"/>
    <n v="2"/>
    <x v="3"/>
    <n v="0"/>
    <n v="2"/>
    <n v="0"/>
    <n v="2"/>
    <x v="5"/>
    <x v="10"/>
    <s v="N"/>
    <s v="N"/>
    <m/>
    <m/>
    <m/>
    <m/>
    <m/>
    <m/>
    <m/>
    <m/>
    <m/>
    <m/>
    <n v="101"/>
    <n v="111"/>
    <n v="5"/>
    <n v="7"/>
    <n v="5"/>
    <n v="7"/>
    <n v="0"/>
    <n v="0"/>
    <n v="0"/>
  </r>
  <r>
    <s v="2_6_BB"/>
    <x v="0"/>
    <x v="0"/>
    <s v="b2"/>
    <s v="b3"/>
    <s v="B"/>
    <s v="r2"/>
    <s v="r3"/>
    <s v="b1"/>
    <m/>
    <s v="b2"/>
    <s v="b3"/>
    <b v="0"/>
    <m/>
    <n v="0"/>
    <n v="2"/>
    <x v="3"/>
    <n v="0"/>
    <n v="2"/>
    <n v="0"/>
    <n v="2"/>
    <x v="6"/>
    <x v="10"/>
    <s v="N"/>
    <s v="N"/>
    <m/>
    <m/>
    <m/>
    <m/>
    <m/>
    <m/>
    <m/>
    <m/>
    <m/>
    <m/>
    <n v="110"/>
    <n v="111"/>
    <n v="6"/>
    <n v="7"/>
    <n v="6"/>
    <n v="7"/>
    <n v="0"/>
    <n v="0"/>
    <n v="0"/>
  </r>
  <r>
    <s v="2_7_BB"/>
    <x v="0"/>
    <x v="1"/>
    <s v="b3"/>
    <s v="b4"/>
    <s v="B"/>
    <s v="r1"/>
    <s v="r2"/>
    <s v="b1"/>
    <s v="b2"/>
    <s v="b3"/>
    <s v="b4"/>
    <b v="0"/>
    <m/>
    <n v="1"/>
    <n v="2"/>
    <x v="3"/>
    <n v="1"/>
    <n v="2"/>
    <n v="0"/>
    <n v="2"/>
    <x v="7"/>
    <x v="10"/>
    <s v="N"/>
    <s v="N"/>
    <m/>
    <m/>
    <m/>
    <m/>
    <m/>
    <m/>
    <m/>
    <m/>
    <m/>
    <m/>
    <n v="111"/>
    <n v="111"/>
    <n v="7"/>
    <n v="7"/>
    <n v="7"/>
    <n v="7"/>
    <n v="0"/>
    <n v="0"/>
    <n v="0"/>
  </r>
  <r>
    <s v="0_1_BDP"/>
    <x v="4"/>
    <x v="5"/>
    <m/>
    <m/>
    <m/>
    <m/>
    <m/>
    <n v="0"/>
    <n v="0"/>
    <m/>
    <m/>
    <b v="0"/>
    <m/>
    <n v="0"/>
    <n v="2"/>
    <x v="7"/>
    <n v="0"/>
    <n v="0"/>
    <n v="2"/>
    <n v="2"/>
    <x v="1"/>
    <x v="11"/>
    <s v="Y"/>
    <s v="N"/>
    <s v="2B,SS"/>
    <s v="3B"/>
    <s v="2,1"/>
    <s v="2,1"/>
    <s v="2,1"/>
    <s v="2,1"/>
    <s v="2,1"/>
    <s v="2,1"/>
    <s v="2,1"/>
    <s v="2,1"/>
    <n v="1"/>
    <n v="0"/>
    <n v="1"/>
    <n v="0"/>
    <n v="1"/>
    <n v="0"/>
    <n v="0"/>
    <n v="0"/>
    <n v="0"/>
  </r>
  <r>
    <s v="0_2_BDP"/>
    <x v="4"/>
    <x v="0"/>
    <n v="0"/>
    <m/>
    <m/>
    <m/>
    <m/>
    <n v="0"/>
    <m/>
    <n v="0"/>
    <m/>
    <b v="0"/>
    <m/>
    <n v="0"/>
    <n v="2"/>
    <x v="7"/>
    <n v="0"/>
    <n v="0"/>
    <n v="2"/>
    <n v="2"/>
    <x v="2"/>
    <x v="11"/>
    <s v="Y"/>
    <s v="N"/>
    <s v="2B,SS"/>
    <s v="3B"/>
    <s v="3,1"/>
    <s v="3,1"/>
    <s v="3,1"/>
    <s v="3,1"/>
    <s v="3,1"/>
    <s v="3,1"/>
    <s v="3,1"/>
    <s v="3,1"/>
    <n v="10"/>
    <n v="0"/>
    <n v="2"/>
    <n v="0"/>
    <n v="2"/>
    <n v="0"/>
    <n v="0"/>
    <n v="0"/>
    <n v="0"/>
  </r>
  <r>
    <s v="0_3_BDP"/>
    <x v="4"/>
    <x v="0"/>
    <m/>
    <n v="0"/>
    <m/>
    <m/>
    <m/>
    <n v="0"/>
    <m/>
    <m/>
    <n v="0"/>
    <b v="0"/>
    <m/>
    <n v="0"/>
    <n v="2"/>
    <x v="7"/>
    <n v="0"/>
    <n v="0"/>
    <n v="2"/>
    <n v="2"/>
    <x v="3"/>
    <x v="11"/>
    <s v="Y"/>
    <s v="N"/>
    <s v="2B,SS"/>
    <s v="3B"/>
    <s v="4,1"/>
    <s v="4,1"/>
    <s v="4,1"/>
    <s v="4,1"/>
    <s v="4,1"/>
    <s v="4,1"/>
    <s v="4,1"/>
    <s v="4,1"/>
    <n v="100"/>
    <n v="0"/>
    <n v="3"/>
    <n v="0"/>
    <n v="3"/>
    <n v="0"/>
    <n v="0"/>
    <n v="0"/>
    <n v="0"/>
  </r>
  <r>
    <s v="0_4_BDP"/>
    <x v="4"/>
    <x v="4"/>
    <n v="0"/>
    <m/>
    <s v="r1"/>
    <m/>
    <m/>
    <n v="0"/>
    <s v="b1"/>
    <n v="0"/>
    <m/>
    <b v="0"/>
    <m/>
    <n v="0"/>
    <n v="2"/>
    <x v="0"/>
    <n v="0"/>
    <n v="0"/>
    <n v="2"/>
    <n v="2"/>
    <x v="4"/>
    <x v="11"/>
    <s v="Y"/>
    <s v="N"/>
    <s v="2B,SS"/>
    <s v="3B"/>
    <s v="3,1"/>
    <s v="3,1"/>
    <s v="3,1"/>
    <s v="3,1"/>
    <s v="3,1"/>
    <s v="3,1"/>
    <s v="3,1"/>
    <s v="3,1"/>
    <n v="11"/>
    <n v="1"/>
    <n v="4"/>
    <n v="1"/>
    <n v="4"/>
    <n v="1"/>
    <n v="0"/>
    <n v="0"/>
    <n v="0"/>
  </r>
  <r>
    <s v="0_5_BDP"/>
    <x v="4"/>
    <x v="4"/>
    <m/>
    <n v="0"/>
    <s v="r1"/>
    <m/>
    <m/>
    <n v="0"/>
    <s v="b1"/>
    <m/>
    <n v="0"/>
    <b v="0"/>
    <m/>
    <n v="0"/>
    <n v="2"/>
    <x v="0"/>
    <n v="0"/>
    <n v="0"/>
    <n v="2"/>
    <n v="2"/>
    <x v="5"/>
    <x v="11"/>
    <s v="Y"/>
    <s v="N"/>
    <s v="2B,SS"/>
    <s v="3B"/>
    <s v="4,1"/>
    <s v="4,1"/>
    <s v="4,1"/>
    <s v="4,1"/>
    <s v="4,1"/>
    <s v="4,1"/>
    <s v="4,1"/>
    <s v="4,1"/>
    <n v="101"/>
    <n v="1"/>
    <n v="5"/>
    <n v="1"/>
    <n v="5"/>
    <n v="1"/>
    <n v="0"/>
    <n v="0"/>
    <n v="0"/>
  </r>
  <r>
    <s v="0_6_BDP"/>
    <x v="4"/>
    <x v="0"/>
    <s v="b2"/>
    <n v="0"/>
    <m/>
    <s v="r2"/>
    <m/>
    <n v="0"/>
    <m/>
    <s v="b2"/>
    <n v="0"/>
    <b v="0"/>
    <m/>
    <n v="0"/>
    <n v="2"/>
    <x v="4"/>
    <n v="0"/>
    <n v="0"/>
    <n v="2"/>
    <n v="2"/>
    <x v="6"/>
    <x v="11"/>
    <s v="Y"/>
    <s v="N"/>
    <s v="2B,SS"/>
    <s v="3B"/>
    <s v="4,1"/>
    <s v="4,1"/>
    <s v="4,1"/>
    <s v="4,1"/>
    <s v="4,1"/>
    <s v="4,1"/>
    <s v="4,1"/>
    <s v="4,1"/>
    <n v="110"/>
    <n v="10"/>
    <n v="6"/>
    <n v="2"/>
    <n v="6"/>
    <n v="2"/>
    <n v="0"/>
    <n v="0"/>
    <n v="0"/>
  </r>
  <r>
    <s v="0_7_BDP"/>
    <x v="4"/>
    <x v="4"/>
    <s v="b2"/>
    <n v="0"/>
    <s v="r1"/>
    <s v="r2"/>
    <m/>
    <n v="0"/>
    <s v="b1"/>
    <s v="b2"/>
    <n v="0"/>
    <b v="0"/>
    <m/>
    <n v="0"/>
    <n v="2"/>
    <x v="1"/>
    <n v="0"/>
    <n v="0"/>
    <n v="2"/>
    <n v="2"/>
    <x v="7"/>
    <x v="11"/>
    <s v="Y"/>
    <s v="N"/>
    <s v="2B,SS"/>
    <s v="3B"/>
    <s v="4,1"/>
    <s v="4,1"/>
    <s v="4,1"/>
    <s v="4,1"/>
    <s v="4,1"/>
    <s v="4,1"/>
    <s v="4,1"/>
    <s v="4,1"/>
    <n v="111"/>
    <n v="11"/>
    <n v="7"/>
    <n v="4"/>
    <n v="7"/>
    <n v="4"/>
    <n v="0"/>
    <n v="0"/>
    <n v="0"/>
  </r>
  <r>
    <s v="1_1_BDP"/>
    <x v="4"/>
    <x v="5"/>
    <m/>
    <m/>
    <m/>
    <m/>
    <m/>
    <n v="0"/>
    <n v="0"/>
    <m/>
    <m/>
    <b v="0"/>
    <m/>
    <n v="0"/>
    <n v="3"/>
    <x v="7"/>
    <n v="0"/>
    <n v="1"/>
    <n v="2"/>
    <n v="3"/>
    <x v="1"/>
    <x v="11"/>
    <s v="Y"/>
    <s v="N"/>
    <s v="2B,SS"/>
    <s v="3B"/>
    <s v="2,1"/>
    <s v="2,1"/>
    <s v="2,1"/>
    <s v="2,1"/>
    <s v="2,1"/>
    <s v="2,1"/>
    <s v="2,1"/>
    <s v="2,1"/>
    <n v="1"/>
    <n v="0"/>
    <n v="1"/>
    <n v="0"/>
    <n v="1"/>
    <n v="0"/>
    <n v="0"/>
    <n v="0"/>
    <n v="0"/>
  </r>
  <r>
    <s v="1_2_BDP"/>
    <x v="4"/>
    <x v="0"/>
    <n v="0"/>
    <m/>
    <m/>
    <m/>
    <m/>
    <n v="0"/>
    <m/>
    <n v="0"/>
    <m/>
    <b v="0"/>
    <m/>
    <n v="0"/>
    <n v="3"/>
    <x v="7"/>
    <n v="0"/>
    <n v="1"/>
    <n v="2"/>
    <n v="3"/>
    <x v="2"/>
    <x v="11"/>
    <s v="Y"/>
    <s v="N"/>
    <s v="2B,SS"/>
    <s v="3B"/>
    <s v="3,1"/>
    <s v="3,1"/>
    <s v="3,1"/>
    <s v="3,1"/>
    <s v="3,1"/>
    <s v="3,1"/>
    <s v="3,1"/>
    <s v="3,1"/>
    <n v="10"/>
    <n v="0"/>
    <n v="2"/>
    <n v="0"/>
    <n v="2"/>
    <n v="0"/>
    <n v="0"/>
    <n v="0"/>
    <n v="0"/>
  </r>
  <r>
    <s v="1_3_BDP"/>
    <x v="4"/>
    <x v="0"/>
    <m/>
    <n v="0"/>
    <m/>
    <m/>
    <m/>
    <n v="0"/>
    <m/>
    <m/>
    <n v="0"/>
    <b v="0"/>
    <m/>
    <n v="0"/>
    <n v="3"/>
    <x v="7"/>
    <n v="0"/>
    <n v="1"/>
    <n v="2"/>
    <n v="3"/>
    <x v="3"/>
    <x v="11"/>
    <s v="Y"/>
    <s v="N"/>
    <s v="2B,SS"/>
    <s v="3B"/>
    <s v="4,1"/>
    <s v="4,1"/>
    <s v="4,1"/>
    <s v="4,1"/>
    <s v="4,1"/>
    <s v="4,1"/>
    <s v="4,1"/>
    <s v="4,1"/>
    <n v="100"/>
    <n v="0"/>
    <n v="3"/>
    <n v="0"/>
    <n v="3"/>
    <n v="0"/>
    <n v="0"/>
    <n v="0"/>
    <n v="0"/>
  </r>
  <r>
    <s v="1_4_BDP"/>
    <x v="4"/>
    <x v="4"/>
    <n v="0"/>
    <m/>
    <s v="r1"/>
    <m/>
    <m/>
    <n v="0"/>
    <s v="b1"/>
    <n v="0"/>
    <m/>
    <b v="0"/>
    <m/>
    <n v="0"/>
    <n v="3"/>
    <x v="0"/>
    <n v="0"/>
    <n v="1"/>
    <n v="2"/>
    <n v="3"/>
    <x v="4"/>
    <x v="11"/>
    <s v="Y"/>
    <s v="N"/>
    <s v="2B,SS"/>
    <s v="3B"/>
    <s v="3,1"/>
    <s v="3,1"/>
    <s v="3,1"/>
    <s v="3,1"/>
    <s v="3,1"/>
    <s v="3,1"/>
    <s v="3,1"/>
    <s v="3,1"/>
    <n v="11"/>
    <n v="1"/>
    <n v="4"/>
    <n v="1"/>
    <n v="4"/>
    <n v="1"/>
    <n v="0"/>
    <n v="0"/>
    <n v="0"/>
  </r>
  <r>
    <s v="1_5_BDP"/>
    <x v="4"/>
    <x v="4"/>
    <m/>
    <n v="0"/>
    <s v="r1"/>
    <m/>
    <m/>
    <n v="0"/>
    <s v="b1"/>
    <m/>
    <n v="0"/>
    <b v="0"/>
    <m/>
    <n v="0"/>
    <n v="3"/>
    <x v="0"/>
    <n v="0"/>
    <n v="1"/>
    <n v="2"/>
    <n v="3"/>
    <x v="5"/>
    <x v="11"/>
    <s v="Y"/>
    <s v="N"/>
    <s v="2B,SS"/>
    <s v="3B"/>
    <s v="4,1"/>
    <s v="4,1"/>
    <s v="4,1"/>
    <s v="4,1"/>
    <s v="4,1"/>
    <s v="4,1"/>
    <s v="4,1"/>
    <s v="4,1"/>
    <n v="101"/>
    <n v="1"/>
    <n v="5"/>
    <n v="1"/>
    <n v="5"/>
    <n v="1"/>
    <n v="0"/>
    <n v="0"/>
    <n v="0"/>
  </r>
  <r>
    <s v="1_6_BDP"/>
    <x v="4"/>
    <x v="0"/>
    <s v="b2"/>
    <n v="0"/>
    <m/>
    <s v="r2"/>
    <m/>
    <n v="0"/>
    <m/>
    <s v="b2"/>
    <n v="0"/>
    <b v="0"/>
    <m/>
    <n v="0"/>
    <n v="3"/>
    <x v="4"/>
    <n v="0"/>
    <n v="1"/>
    <n v="2"/>
    <n v="3"/>
    <x v="6"/>
    <x v="11"/>
    <s v="Y"/>
    <s v="N"/>
    <s v="2B,SS"/>
    <s v="3B"/>
    <s v="4,1"/>
    <s v="4,1"/>
    <s v="4,1"/>
    <s v="4,1"/>
    <s v="4,1"/>
    <s v="4,1"/>
    <s v="4,1"/>
    <s v="4,1"/>
    <n v="110"/>
    <n v="10"/>
    <n v="6"/>
    <n v="2"/>
    <n v="6"/>
    <n v="2"/>
    <n v="0"/>
    <n v="0"/>
    <n v="0"/>
  </r>
  <r>
    <s v="1_7_BDP"/>
    <x v="4"/>
    <x v="4"/>
    <s v="b2"/>
    <n v="0"/>
    <s v="r1"/>
    <s v="r2"/>
    <m/>
    <n v="0"/>
    <s v="b1"/>
    <s v="b2"/>
    <n v="0"/>
    <b v="0"/>
    <m/>
    <n v="0"/>
    <n v="3"/>
    <x v="1"/>
    <n v="0"/>
    <n v="1"/>
    <n v="2"/>
    <n v="3"/>
    <x v="7"/>
    <x v="11"/>
    <s v="Y"/>
    <s v="N"/>
    <s v="2B,SS"/>
    <s v="3B"/>
    <s v="4,1"/>
    <s v="4,1"/>
    <s v="4,1"/>
    <s v="4,1"/>
    <s v="4,1"/>
    <s v="4,1"/>
    <s v="4,1"/>
    <s v="4,1"/>
    <n v="111"/>
    <n v="11"/>
    <n v="7"/>
    <n v="4"/>
    <n v="7"/>
    <n v="4"/>
    <n v="0"/>
    <n v="0"/>
    <n v="0"/>
  </r>
  <r>
    <s v="0_1_BFC"/>
    <x v="0"/>
    <x v="5"/>
    <m/>
    <m/>
    <s v="B"/>
    <m/>
    <m/>
    <s v="b1"/>
    <n v="0"/>
    <m/>
    <m/>
    <b v="0"/>
    <m/>
    <n v="0"/>
    <n v="1"/>
    <x v="0"/>
    <n v="0"/>
    <n v="0"/>
    <n v="1"/>
    <n v="1"/>
    <x v="1"/>
    <x v="12"/>
    <s v="Y"/>
    <s v="N"/>
    <s v="2B,SS"/>
    <s v="3B"/>
    <n v="2"/>
    <m/>
    <m/>
    <m/>
    <m/>
    <m/>
    <m/>
    <m/>
    <n v="1"/>
    <n v="1"/>
    <n v="1"/>
    <n v="1"/>
    <n v="1"/>
    <n v="1"/>
    <n v="0"/>
    <n v="0"/>
    <n v="0"/>
  </r>
  <r>
    <s v="0_2_BFC"/>
    <x v="0"/>
    <x v="0"/>
    <n v="0"/>
    <m/>
    <s v="B"/>
    <m/>
    <m/>
    <s v="b1"/>
    <m/>
    <n v="0"/>
    <m/>
    <b v="0"/>
    <m/>
    <n v="0"/>
    <n v="1"/>
    <x v="0"/>
    <n v="0"/>
    <n v="0"/>
    <n v="1"/>
    <n v="1"/>
    <x v="2"/>
    <x v="12"/>
    <s v="Y"/>
    <s v="N"/>
    <s v="2B,SS"/>
    <s v="3B"/>
    <n v="3"/>
    <m/>
    <m/>
    <m/>
    <m/>
    <m/>
    <m/>
    <m/>
    <n v="10"/>
    <n v="1"/>
    <n v="2"/>
    <n v="1"/>
    <n v="2"/>
    <n v="1"/>
    <n v="0"/>
    <n v="0"/>
    <n v="0"/>
  </r>
  <r>
    <s v="0_3_BFC"/>
    <x v="0"/>
    <x v="0"/>
    <m/>
    <n v="0"/>
    <s v="B"/>
    <m/>
    <m/>
    <s v="b1"/>
    <m/>
    <m/>
    <n v="0"/>
    <b v="0"/>
    <m/>
    <n v="0"/>
    <n v="1"/>
    <x v="0"/>
    <n v="0"/>
    <n v="0"/>
    <n v="1"/>
    <n v="1"/>
    <x v="3"/>
    <x v="12"/>
    <s v="Y"/>
    <s v="N"/>
    <s v="2B,SS"/>
    <s v="3B"/>
    <n v="4"/>
    <m/>
    <m/>
    <m/>
    <m/>
    <m/>
    <m/>
    <m/>
    <n v="100"/>
    <n v="1"/>
    <n v="3"/>
    <n v="1"/>
    <n v="3"/>
    <n v="1"/>
    <n v="0"/>
    <n v="0"/>
    <n v="0"/>
  </r>
  <r>
    <s v="0_4_BFC"/>
    <x v="0"/>
    <x v="1"/>
    <n v="0"/>
    <m/>
    <s v="B"/>
    <s v="r1"/>
    <m/>
    <s v="b1"/>
    <s v="b2"/>
    <n v="0"/>
    <m/>
    <b v="0"/>
    <m/>
    <n v="0"/>
    <n v="1"/>
    <x v="1"/>
    <n v="0"/>
    <n v="0"/>
    <n v="1"/>
    <n v="1"/>
    <x v="4"/>
    <x v="12"/>
    <s v="Y"/>
    <s v="N"/>
    <s v="2B,SS"/>
    <s v="3B"/>
    <n v="3"/>
    <m/>
    <m/>
    <m/>
    <m/>
    <m/>
    <m/>
    <m/>
    <n v="11"/>
    <n v="11"/>
    <n v="4"/>
    <n v="4"/>
    <n v="4"/>
    <n v="4"/>
    <n v="0"/>
    <n v="0"/>
    <n v="0"/>
  </r>
  <r>
    <s v="0_5_BFC"/>
    <x v="0"/>
    <x v="1"/>
    <m/>
    <n v="0"/>
    <s v="B"/>
    <s v="r1"/>
    <m/>
    <s v="b1"/>
    <s v="b2"/>
    <m/>
    <n v="0"/>
    <b v="0"/>
    <m/>
    <n v="0"/>
    <n v="1"/>
    <x v="1"/>
    <n v="0"/>
    <n v="0"/>
    <n v="1"/>
    <n v="1"/>
    <x v="5"/>
    <x v="12"/>
    <s v="Y"/>
    <s v="N"/>
    <s v="2B,SS"/>
    <s v="3B"/>
    <n v="4"/>
    <m/>
    <m/>
    <m/>
    <m/>
    <m/>
    <m/>
    <m/>
    <n v="101"/>
    <n v="11"/>
    <n v="5"/>
    <n v="4"/>
    <n v="5"/>
    <n v="4"/>
    <n v="0"/>
    <n v="0"/>
    <n v="0"/>
  </r>
  <r>
    <s v="0_6_BFC"/>
    <x v="0"/>
    <x v="0"/>
    <s v="b3"/>
    <n v="0"/>
    <s v="B"/>
    <m/>
    <s v="r2"/>
    <s v="b1"/>
    <m/>
    <s v="b3"/>
    <n v="0"/>
    <b v="0"/>
    <m/>
    <n v="0"/>
    <n v="1"/>
    <x v="2"/>
    <n v="0"/>
    <n v="0"/>
    <n v="1"/>
    <n v="1"/>
    <x v="6"/>
    <x v="12"/>
    <s v="Y"/>
    <s v="N"/>
    <s v="2B,SS"/>
    <s v="3B"/>
    <n v="4"/>
    <m/>
    <m/>
    <m/>
    <m/>
    <m/>
    <m/>
    <m/>
    <n v="110"/>
    <n v="101"/>
    <n v="6"/>
    <n v="5"/>
    <n v="6"/>
    <n v="5"/>
    <n v="0"/>
    <n v="0"/>
    <n v="0"/>
  </r>
  <r>
    <s v="0_7_BFC"/>
    <x v="0"/>
    <x v="1"/>
    <s v="b3"/>
    <n v="0"/>
    <s v="B"/>
    <s v="r1"/>
    <s v="r2"/>
    <s v="b1"/>
    <s v="b2"/>
    <s v="b3"/>
    <n v="0"/>
    <b v="0"/>
    <m/>
    <n v="0"/>
    <n v="1"/>
    <x v="3"/>
    <n v="0"/>
    <n v="0"/>
    <n v="1"/>
    <n v="1"/>
    <x v="7"/>
    <x v="12"/>
    <s v="Y"/>
    <s v="N"/>
    <s v="2B,SS"/>
    <s v="3B"/>
    <n v="4"/>
    <m/>
    <m/>
    <m/>
    <m/>
    <m/>
    <m/>
    <m/>
    <n v="111"/>
    <n v="111"/>
    <n v="7"/>
    <n v="7"/>
    <n v="7"/>
    <n v="7"/>
    <n v="0"/>
    <n v="0"/>
    <n v="0"/>
  </r>
  <r>
    <s v="1_1_BFC"/>
    <x v="0"/>
    <x v="5"/>
    <m/>
    <m/>
    <s v="B"/>
    <m/>
    <m/>
    <s v="b1"/>
    <n v="0"/>
    <m/>
    <m/>
    <b v="0"/>
    <m/>
    <n v="0"/>
    <n v="2"/>
    <x v="0"/>
    <n v="0"/>
    <n v="1"/>
    <n v="1"/>
    <n v="2"/>
    <x v="1"/>
    <x v="12"/>
    <s v="Y"/>
    <s v="N"/>
    <s v="2B,SS"/>
    <s v="3B"/>
    <n v="2"/>
    <m/>
    <m/>
    <m/>
    <m/>
    <m/>
    <m/>
    <m/>
    <n v="1"/>
    <n v="1"/>
    <n v="1"/>
    <n v="1"/>
    <n v="1"/>
    <n v="1"/>
    <n v="0"/>
    <n v="0"/>
    <n v="0"/>
  </r>
  <r>
    <s v="1_2_BFC"/>
    <x v="0"/>
    <x v="0"/>
    <n v="0"/>
    <m/>
    <s v="B"/>
    <m/>
    <m/>
    <s v="b1"/>
    <m/>
    <n v="0"/>
    <m/>
    <b v="0"/>
    <m/>
    <n v="0"/>
    <n v="2"/>
    <x v="0"/>
    <n v="0"/>
    <n v="1"/>
    <n v="1"/>
    <n v="2"/>
    <x v="2"/>
    <x v="12"/>
    <s v="Y"/>
    <s v="N"/>
    <s v="2B,SS"/>
    <s v="3B"/>
    <n v="3"/>
    <m/>
    <m/>
    <m/>
    <m/>
    <m/>
    <m/>
    <m/>
    <n v="10"/>
    <n v="1"/>
    <n v="2"/>
    <n v="1"/>
    <n v="2"/>
    <n v="1"/>
    <n v="0"/>
    <n v="0"/>
    <n v="0"/>
  </r>
  <r>
    <s v="1_3_BFC"/>
    <x v="0"/>
    <x v="0"/>
    <m/>
    <n v="0"/>
    <s v="B"/>
    <m/>
    <m/>
    <s v="b1"/>
    <m/>
    <m/>
    <n v="0"/>
    <b v="0"/>
    <m/>
    <n v="0"/>
    <n v="2"/>
    <x v="0"/>
    <n v="0"/>
    <n v="1"/>
    <n v="1"/>
    <n v="2"/>
    <x v="3"/>
    <x v="12"/>
    <s v="Y"/>
    <s v="N"/>
    <s v="2B,SS"/>
    <s v="3B"/>
    <n v="4"/>
    <m/>
    <m/>
    <m/>
    <m/>
    <m/>
    <m/>
    <m/>
    <n v="100"/>
    <n v="1"/>
    <n v="3"/>
    <n v="1"/>
    <n v="3"/>
    <n v="1"/>
    <n v="0"/>
    <n v="0"/>
    <n v="0"/>
  </r>
  <r>
    <s v="1_4_BFC"/>
    <x v="0"/>
    <x v="1"/>
    <n v="0"/>
    <m/>
    <s v="B"/>
    <s v="r1"/>
    <m/>
    <s v="b1"/>
    <s v="b2"/>
    <n v="0"/>
    <m/>
    <b v="0"/>
    <m/>
    <n v="0"/>
    <n v="2"/>
    <x v="1"/>
    <n v="0"/>
    <n v="1"/>
    <n v="1"/>
    <n v="2"/>
    <x v="4"/>
    <x v="12"/>
    <s v="Y"/>
    <s v="N"/>
    <s v="2B,SS"/>
    <s v="3B"/>
    <n v="3"/>
    <m/>
    <m/>
    <m/>
    <m/>
    <m/>
    <m/>
    <m/>
    <n v="11"/>
    <n v="11"/>
    <n v="4"/>
    <n v="4"/>
    <n v="4"/>
    <n v="4"/>
    <n v="0"/>
    <n v="0"/>
    <n v="0"/>
  </r>
  <r>
    <s v="1_5_BFC"/>
    <x v="0"/>
    <x v="1"/>
    <m/>
    <n v="0"/>
    <s v="B"/>
    <s v="r1"/>
    <m/>
    <s v="b1"/>
    <s v="b2"/>
    <m/>
    <n v="0"/>
    <b v="0"/>
    <m/>
    <n v="0"/>
    <n v="2"/>
    <x v="1"/>
    <n v="0"/>
    <n v="1"/>
    <n v="1"/>
    <n v="2"/>
    <x v="5"/>
    <x v="12"/>
    <s v="Y"/>
    <s v="N"/>
    <s v="2B,SS"/>
    <s v="3B"/>
    <n v="4"/>
    <m/>
    <m/>
    <m/>
    <m/>
    <m/>
    <m/>
    <m/>
    <n v="101"/>
    <n v="11"/>
    <n v="5"/>
    <n v="4"/>
    <n v="5"/>
    <n v="4"/>
    <n v="0"/>
    <n v="0"/>
    <n v="0"/>
  </r>
  <r>
    <s v="1_6_BFC"/>
    <x v="0"/>
    <x v="0"/>
    <s v="b3"/>
    <n v="0"/>
    <s v="B"/>
    <m/>
    <s v="r2"/>
    <s v="b1"/>
    <m/>
    <s v="b3"/>
    <n v="0"/>
    <b v="0"/>
    <m/>
    <n v="0"/>
    <n v="2"/>
    <x v="2"/>
    <n v="0"/>
    <n v="1"/>
    <n v="1"/>
    <n v="2"/>
    <x v="6"/>
    <x v="12"/>
    <s v="Y"/>
    <s v="N"/>
    <s v="2B,SS"/>
    <s v="3B"/>
    <n v="4"/>
    <m/>
    <m/>
    <m/>
    <m/>
    <m/>
    <m/>
    <m/>
    <n v="110"/>
    <n v="101"/>
    <n v="6"/>
    <n v="5"/>
    <n v="6"/>
    <n v="5"/>
    <n v="0"/>
    <n v="0"/>
    <n v="0"/>
  </r>
  <r>
    <s v="1_7_BFC"/>
    <x v="0"/>
    <x v="1"/>
    <s v="b3"/>
    <n v="0"/>
    <s v="B"/>
    <s v="r1"/>
    <s v="r2"/>
    <s v="b1"/>
    <s v="b2"/>
    <s v="b3"/>
    <n v="0"/>
    <b v="0"/>
    <m/>
    <n v="0"/>
    <n v="2"/>
    <x v="3"/>
    <n v="0"/>
    <n v="1"/>
    <n v="1"/>
    <n v="2"/>
    <x v="7"/>
    <x v="12"/>
    <s v="Y"/>
    <s v="N"/>
    <s v="2B,SS"/>
    <s v="3B"/>
    <n v="4"/>
    <m/>
    <m/>
    <m/>
    <m/>
    <m/>
    <m/>
    <m/>
    <n v="111"/>
    <n v="111"/>
    <n v="7"/>
    <n v="7"/>
    <n v="7"/>
    <n v="7"/>
    <n v="0"/>
    <n v="0"/>
    <n v="0"/>
  </r>
  <r>
    <s v="2_1_BFC"/>
    <x v="0"/>
    <x v="5"/>
    <m/>
    <m/>
    <s v="B"/>
    <m/>
    <m/>
    <s v="b1"/>
    <n v="0"/>
    <m/>
    <m/>
    <b v="0"/>
    <m/>
    <n v="0"/>
    <n v="3"/>
    <x v="0"/>
    <n v="0"/>
    <n v="2"/>
    <n v="1"/>
    <n v="3"/>
    <x v="1"/>
    <x v="12"/>
    <s v="Y"/>
    <s v="N"/>
    <s v="2B,SS"/>
    <s v="3B"/>
    <n v="2"/>
    <m/>
    <m/>
    <m/>
    <m/>
    <m/>
    <m/>
    <m/>
    <n v="1"/>
    <n v="1"/>
    <n v="1"/>
    <n v="1"/>
    <n v="1"/>
    <n v="1"/>
    <n v="0"/>
    <n v="0"/>
    <n v="0"/>
  </r>
  <r>
    <s v="2_2_BFC"/>
    <x v="0"/>
    <x v="0"/>
    <n v="0"/>
    <m/>
    <s v="B"/>
    <m/>
    <m/>
    <s v="b1"/>
    <m/>
    <n v="0"/>
    <m/>
    <b v="0"/>
    <m/>
    <n v="0"/>
    <n v="3"/>
    <x v="0"/>
    <n v="0"/>
    <n v="2"/>
    <n v="1"/>
    <n v="3"/>
    <x v="2"/>
    <x v="12"/>
    <s v="Y"/>
    <s v="N"/>
    <s v="2B,SS"/>
    <s v="3B"/>
    <n v="3"/>
    <m/>
    <m/>
    <m/>
    <m/>
    <m/>
    <m/>
    <m/>
    <n v="10"/>
    <n v="1"/>
    <n v="2"/>
    <n v="1"/>
    <n v="2"/>
    <n v="1"/>
    <n v="0"/>
    <n v="0"/>
    <n v="0"/>
  </r>
  <r>
    <s v="2_3_BFC"/>
    <x v="0"/>
    <x v="0"/>
    <m/>
    <n v="0"/>
    <s v="B"/>
    <m/>
    <m/>
    <s v="b1"/>
    <m/>
    <m/>
    <n v="0"/>
    <b v="0"/>
    <m/>
    <n v="0"/>
    <n v="3"/>
    <x v="0"/>
    <n v="0"/>
    <n v="2"/>
    <n v="1"/>
    <n v="3"/>
    <x v="3"/>
    <x v="12"/>
    <s v="Y"/>
    <s v="N"/>
    <s v="2B,SS"/>
    <s v="3B"/>
    <n v="4"/>
    <m/>
    <m/>
    <m/>
    <m/>
    <m/>
    <m/>
    <m/>
    <n v="100"/>
    <n v="1"/>
    <n v="3"/>
    <n v="1"/>
    <n v="3"/>
    <n v="1"/>
    <n v="0"/>
    <n v="0"/>
    <n v="0"/>
  </r>
  <r>
    <s v="2_4_BFC"/>
    <x v="0"/>
    <x v="1"/>
    <n v="0"/>
    <m/>
    <s v="B"/>
    <s v="r1"/>
    <m/>
    <s v="b1"/>
    <s v="b2"/>
    <n v="0"/>
    <m/>
    <b v="0"/>
    <m/>
    <n v="0"/>
    <n v="3"/>
    <x v="1"/>
    <n v="0"/>
    <n v="2"/>
    <n v="1"/>
    <n v="3"/>
    <x v="4"/>
    <x v="12"/>
    <s v="Y"/>
    <s v="N"/>
    <s v="2B,SS"/>
    <s v="3B"/>
    <n v="3"/>
    <m/>
    <m/>
    <m/>
    <m/>
    <m/>
    <m/>
    <m/>
    <n v="11"/>
    <n v="11"/>
    <n v="4"/>
    <n v="4"/>
    <n v="4"/>
    <n v="4"/>
    <n v="0"/>
    <n v="0"/>
    <n v="0"/>
  </r>
  <r>
    <s v="2_5_BFC"/>
    <x v="0"/>
    <x v="1"/>
    <m/>
    <n v="0"/>
    <s v="B"/>
    <s v="r1"/>
    <m/>
    <s v="b1"/>
    <s v="b2"/>
    <m/>
    <n v="0"/>
    <b v="0"/>
    <m/>
    <n v="0"/>
    <n v="3"/>
    <x v="1"/>
    <n v="0"/>
    <n v="2"/>
    <n v="1"/>
    <n v="3"/>
    <x v="5"/>
    <x v="12"/>
    <s v="Y"/>
    <s v="N"/>
    <s v="2B,SS"/>
    <s v="3B"/>
    <n v="4"/>
    <m/>
    <m/>
    <m/>
    <m/>
    <m/>
    <m/>
    <m/>
    <n v="101"/>
    <n v="11"/>
    <n v="5"/>
    <n v="4"/>
    <n v="5"/>
    <n v="4"/>
    <n v="0"/>
    <n v="0"/>
    <n v="0"/>
  </r>
  <r>
    <s v="2_6_BFC"/>
    <x v="0"/>
    <x v="0"/>
    <s v="b2"/>
    <n v="0"/>
    <s v="B"/>
    <s v="r2"/>
    <m/>
    <s v="b1"/>
    <m/>
    <s v="b2"/>
    <n v="0"/>
    <b v="0"/>
    <m/>
    <n v="0"/>
    <n v="3"/>
    <x v="1"/>
    <n v="0"/>
    <n v="2"/>
    <n v="1"/>
    <n v="3"/>
    <x v="6"/>
    <x v="12"/>
    <s v="Y"/>
    <s v="N"/>
    <s v="2B,SS"/>
    <s v="3B"/>
    <n v="4"/>
    <m/>
    <m/>
    <m/>
    <m/>
    <m/>
    <m/>
    <m/>
    <n v="110"/>
    <n v="11"/>
    <n v="6"/>
    <n v="4"/>
    <n v="6"/>
    <n v="4"/>
    <n v="0"/>
    <n v="0"/>
    <n v="0"/>
  </r>
  <r>
    <s v="2_7_BFC"/>
    <x v="0"/>
    <x v="1"/>
    <s v="b3"/>
    <n v="0"/>
    <s v="B"/>
    <s v="r1"/>
    <s v="r2"/>
    <s v="b1"/>
    <s v="b2"/>
    <s v="b3"/>
    <n v="0"/>
    <b v="0"/>
    <m/>
    <n v="0"/>
    <n v="3"/>
    <x v="3"/>
    <n v="0"/>
    <n v="2"/>
    <n v="1"/>
    <n v="3"/>
    <x v="7"/>
    <x v="12"/>
    <s v="Y"/>
    <s v="N"/>
    <s v="2B,SS"/>
    <s v="3B"/>
    <n v="4"/>
    <m/>
    <m/>
    <m/>
    <m/>
    <m/>
    <m/>
    <m/>
    <n v="111"/>
    <n v="111"/>
    <n v="7"/>
    <n v="7"/>
    <n v="7"/>
    <n v="7"/>
    <n v="0"/>
    <n v="0"/>
    <n v="0"/>
  </r>
  <r>
    <s v="0_0_BGO"/>
    <x v="4"/>
    <x v="0"/>
    <m/>
    <m/>
    <m/>
    <m/>
    <m/>
    <n v="0"/>
    <m/>
    <m/>
    <m/>
    <b v="0"/>
    <m/>
    <n v="0"/>
    <n v="1"/>
    <x v="7"/>
    <n v="0"/>
    <n v="0"/>
    <n v="1"/>
    <n v="1"/>
    <x v="0"/>
    <x v="13"/>
    <s v="Y"/>
    <s v="N"/>
    <s v="2B,SS"/>
    <s v="3B"/>
    <n v="1"/>
    <m/>
    <m/>
    <m/>
    <m/>
    <m/>
    <m/>
    <m/>
    <n v="0"/>
    <n v="0"/>
    <n v="0"/>
    <n v="0"/>
    <n v="0"/>
    <n v="0"/>
    <n v="0"/>
    <n v="0"/>
    <n v="0"/>
  </r>
  <r>
    <s v="1_0_BGO"/>
    <x v="4"/>
    <x v="0"/>
    <m/>
    <m/>
    <m/>
    <m/>
    <m/>
    <n v="0"/>
    <m/>
    <m/>
    <m/>
    <b v="0"/>
    <m/>
    <n v="0"/>
    <n v="2"/>
    <x v="7"/>
    <n v="0"/>
    <n v="1"/>
    <n v="1"/>
    <n v="2"/>
    <x v="0"/>
    <x v="13"/>
    <s v="Y"/>
    <s v="N"/>
    <s v="2B,SS"/>
    <s v="3B"/>
    <n v="1"/>
    <m/>
    <m/>
    <m/>
    <m/>
    <m/>
    <m/>
    <m/>
    <n v="0"/>
    <n v="0"/>
    <n v="0"/>
    <n v="0"/>
    <n v="0"/>
    <n v="0"/>
    <n v="0"/>
    <n v="0"/>
    <n v="0"/>
  </r>
  <r>
    <s v="2_0_BGO"/>
    <x v="4"/>
    <x v="0"/>
    <m/>
    <m/>
    <m/>
    <m/>
    <m/>
    <n v="0"/>
    <m/>
    <m/>
    <m/>
    <b v="0"/>
    <m/>
    <n v="0"/>
    <n v="3"/>
    <x v="7"/>
    <n v="0"/>
    <n v="2"/>
    <n v="1"/>
    <n v="3"/>
    <x v="0"/>
    <x v="13"/>
    <s v="Y"/>
    <s v="N"/>
    <s v="2B,SS"/>
    <s v="3B"/>
    <n v="1"/>
    <m/>
    <m/>
    <m/>
    <m/>
    <m/>
    <m/>
    <m/>
    <n v="0"/>
    <n v="0"/>
    <n v="0"/>
    <n v="0"/>
    <n v="0"/>
    <n v="0"/>
    <n v="0"/>
    <n v="0"/>
    <n v="0"/>
  </r>
  <r>
    <s v="0_1_CS"/>
    <x v="3"/>
    <x v="5"/>
    <m/>
    <m/>
    <m/>
    <m/>
    <m/>
    <m/>
    <n v="0"/>
    <m/>
    <m/>
    <b v="0"/>
    <m/>
    <n v="0"/>
    <n v="1"/>
    <x v="7"/>
    <n v="0"/>
    <n v="0"/>
    <n v="1"/>
    <n v="1"/>
    <x v="1"/>
    <x v="14"/>
    <s v="N"/>
    <s v="N"/>
    <m/>
    <s v="C"/>
    <n v="2"/>
    <m/>
    <m/>
    <m/>
    <m/>
    <m/>
    <m/>
    <m/>
    <n v="1"/>
    <n v="0"/>
    <n v="1"/>
    <n v="0"/>
    <n v="1"/>
    <n v="0"/>
    <n v="0"/>
    <n v="0"/>
    <n v="0"/>
  </r>
  <r>
    <s v="0_5_CS"/>
    <x v="3"/>
    <x v="5"/>
    <m/>
    <s v="b3"/>
    <m/>
    <m/>
    <s v="r3"/>
    <m/>
    <n v="0"/>
    <m/>
    <s v="b3"/>
    <b v="0"/>
    <m/>
    <n v="0"/>
    <n v="1"/>
    <x v="6"/>
    <n v="0"/>
    <n v="0"/>
    <n v="1"/>
    <n v="1"/>
    <x v="5"/>
    <x v="14"/>
    <s v="N"/>
    <s v="N"/>
    <m/>
    <s v="C"/>
    <n v="2"/>
    <m/>
    <m/>
    <m/>
    <m/>
    <m/>
    <m/>
    <m/>
    <n v="101"/>
    <n v="100"/>
    <n v="5"/>
    <n v="3"/>
    <n v="5"/>
    <n v="3"/>
    <n v="0"/>
    <n v="0"/>
    <n v="0"/>
  </r>
  <r>
    <s v="1_1_CS"/>
    <x v="3"/>
    <x v="5"/>
    <m/>
    <m/>
    <m/>
    <m/>
    <m/>
    <m/>
    <n v="0"/>
    <m/>
    <m/>
    <b v="0"/>
    <m/>
    <n v="0"/>
    <n v="2"/>
    <x v="7"/>
    <n v="0"/>
    <n v="1"/>
    <n v="1"/>
    <n v="2"/>
    <x v="1"/>
    <x v="14"/>
    <s v="N"/>
    <s v="N"/>
    <m/>
    <s v="C"/>
    <n v="2"/>
    <m/>
    <m/>
    <m/>
    <m/>
    <m/>
    <m/>
    <m/>
    <n v="1"/>
    <n v="0"/>
    <n v="1"/>
    <n v="0"/>
    <n v="1"/>
    <n v="0"/>
    <n v="0"/>
    <n v="0"/>
    <n v="0"/>
  </r>
  <r>
    <s v="1_5_CS"/>
    <x v="3"/>
    <x v="5"/>
    <m/>
    <s v="b3"/>
    <m/>
    <m/>
    <s v="r3"/>
    <m/>
    <n v="0"/>
    <m/>
    <s v="b3"/>
    <b v="0"/>
    <m/>
    <n v="0"/>
    <n v="2"/>
    <x v="6"/>
    <n v="0"/>
    <n v="1"/>
    <n v="1"/>
    <n v="2"/>
    <x v="5"/>
    <x v="14"/>
    <s v="N"/>
    <s v="N"/>
    <m/>
    <s v="C"/>
    <n v="2"/>
    <m/>
    <m/>
    <m/>
    <m/>
    <m/>
    <m/>
    <m/>
    <n v="101"/>
    <n v="100"/>
    <n v="5"/>
    <n v="3"/>
    <n v="5"/>
    <n v="3"/>
    <n v="0"/>
    <n v="0"/>
    <n v="0"/>
  </r>
  <r>
    <s v="2_1_CS"/>
    <x v="3"/>
    <x v="5"/>
    <m/>
    <m/>
    <m/>
    <m/>
    <m/>
    <m/>
    <n v="0"/>
    <m/>
    <m/>
    <b v="0"/>
    <m/>
    <n v="0"/>
    <n v="3"/>
    <x v="7"/>
    <n v="0"/>
    <n v="2"/>
    <n v="1"/>
    <n v="3"/>
    <x v="1"/>
    <x v="14"/>
    <s v="N"/>
    <s v="N"/>
    <m/>
    <s v="C"/>
    <n v="2"/>
    <m/>
    <m/>
    <m/>
    <m/>
    <m/>
    <m/>
    <m/>
    <n v="1"/>
    <n v="0"/>
    <n v="1"/>
    <n v="0"/>
    <n v="1"/>
    <n v="0"/>
    <n v="0"/>
    <n v="0"/>
    <n v="0"/>
  </r>
  <r>
    <s v="2_5_CS"/>
    <x v="3"/>
    <x v="5"/>
    <m/>
    <m/>
    <m/>
    <m/>
    <m/>
    <m/>
    <n v="0"/>
    <m/>
    <s v="b3"/>
    <b v="0"/>
    <m/>
    <n v="0"/>
    <n v="3"/>
    <x v="7"/>
    <n v="0"/>
    <n v="2"/>
    <n v="1"/>
    <n v="3"/>
    <x v="5"/>
    <x v="14"/>
    <s v="N"/>
    <s v="N"/>
    <m/>
    <s v="C"/>
    <n v="2"/>
    <m/>
    <m/>
    <m/>
    <m/>
    <m/>
    <m/>
    <m/>
    <n v="1"/>
    <n v="0"/>
    <n v="1"/>
    <n v="0"/>
    <n v="5"/>
    <n v="0"/>
    <n v="1"/>
    <n v="0"/>
    <n v="1"/>
  </r>
  <r>
    <s v="0_1_CS2"/>
    <x v="3"/>
    <x v="5"/>
    <m/>
    <m/>
    <m/>
    <m/>
    <m/>
    <m/>
    <n v="0"/>
    <m/>
    <m/>
    <b v="0"/>
    <m/>
    <n v="0"/>
    <n v="1"/>
    <x v="7"/>
    <n v="0"/>
    <n v="0"/>
    <n v="1"/>
    <n v="1"/>
    <x v="1"/>
    <x v="15"/>
    <s v="N"/>
    <s v="N"/>
    <m/>
    <s v="C"/>
    <n v="2"/>
    <m/>
    <m/>
    <m/>
    <m/>
    <m/>
    <m/>
    <m/>
    <n v="1"/>
    <n v="0"/>
    <n v="1"/>
    <n v="0"/>
    <n v="1"/>
    <n v="0"/>
    <n v="0"/>
    <n v="0"/>
    <n v="0"/>
  </r>
  <r>
    <s v="0_5_CS2"/>
    <x v="3"/>
    <x v="5"/>
    <m/>
    <s v="b3"/>
    <m/>
    <m/>
    <s v="r3"/>
    <m/>
    <n v="0"/>
    <m/>
    <s v="b3"/>
    <b v="0"/>
    <m/>
    <n v="0"/>
    <n v="1"/>
    <x v="6"/>
    <n v="0"/>
    <n v="0"/>
    <n v="1"/>
    <n v="1"/>
    <x v="5"/>
    <x v="15"/>
    <s v="N"/>
    <s v="N"/>
    <m/>
    <s v="C"/>
    <n v="2"/>
    <m/>
    <m/>
    <m/>
    <m/>
    <m/>
    <m/>
    <m/>
    <n v="101"/>
    <n v="100"/>
    <n v="5"/>
    <n v="3"/>
    <n v="5"/>
    <n v="3"/>
    <n v="0"/>
    <n v="0"/>
    <n v="0"/>
  </r>
  <r>
    <s v="1_1_CS2"/>
    <x v="3"/>
    <x v="5"/>
    <m/>
    <m/>
    <m/>
    <m/>
    <m/>
    <m/>
    <n v="0"/>
    <m/>
    <m/>
    <b v="0"/>
    <m/>
    <n v="0"/>
    <n v="2"/>
    <x v="7"/>
    <n v="0"/>
    <n v="1"/>
    <n v="1"/>
    <n v="2"/>
    <x v="1"/>
    <x v="15"/>
    <s v="N"/>
    <s v="N"/>
    <m/>
    <s v="C"/>
    <n v="2"/>
    <m/>
    <m/>
    <m/>
    <m/>
    <m/>
    <m/>
    <m/>
    <n v="1"/>
    <n v="0"/>
    <n v="1"/>
    <n v="0"/>
    <n v="1"/>
    <n v="0"/>
    <n v="0"/>
    <n v="0"/>
    <n v="0"/>
  </r>
  <r>
    <s v="1_5_CS2"/>
    <x v="3"/>
    <x v="5"/>
    <m/>
    <s v="b3"/>
    <m/>
    <m/>
    <s v="r3"/>
    <m/>
    <n v="0"/>
    <m/>
    <s v="b3"/>
    <b v="0"/>
    <m/>
    <n v="0"/>
    <n v="2"/>
    <x v="6"/>
    <n v="0"/>
    <n v="1"/>
    <n v="1"/>
    <n v="2"/>
    <x v="5"/>
    <x v="15"/>
    <s v="N"/>
    <s v="N"/>
    <m/>
    <s v="C"/>
    <n v="2"/>
    <m/>
    <m/>
    <m/>
    <m/>
    <m/>
    <m/>
    <m/>
    <n v="101"/>
    <n v="100"/>
    <n v="5"/>
    <n v="3"/>
    <n v="5"/>
    <n v="3"/>
    <n v="0"/>
    <n v="0"/>
    <n v="0"/>
  </r>
  <r>
    <s v="2_1_CS2"/>
    <x v="3"/>
    <x v="5"/>
    <m/>
    <m/>
    <m/>
    <m/>
    <m/>
    <m/>
    <n v="0"/>
    <m/>
    <m/>
    <b v="0"/>
    <m/>
    <n v="0"/>
    <n v="3"/>
    <x v="7"/>
    <n v="0"/>
    <n v="2"/>
    <n v="1"/>
    <n v="3"/>
    <x v="1"/>
    <x v="15"/>
    <s v="N"/>
    <s v="N"/>
    <m/>
    <s v="C"/>
    <n v="2"/>
    <m/>
    <m/>
    <m/>
    <m/>
    <m/>
    <m/>
    <m/>
    <n v="1"/>
    <n v="0"/>
    <n v="1"/>
    <n v="0"/>
    <n v="1"/>
    <n v="0"/>
    <n v="0"/>
    <n v="0"/>
    <n v="0"/>
  </r>
  <r>
    <s v="2_5_CS2"/>
    <x v="3"/>
    <x v="5"/>
    <m/>
    <m/>
    <m/>
    <m/>
    <m/>
    <m/>
    <n v="0"/>
    <m/>
    <s v="b3"/>
    <b v="0"/>
    <m/>
    <n v="0"/>
    <n v="3"/>
    <x v="7"/>
    <n v="0"/>
    <n v="2"/>
    <n v="1"/>
    <n v="3"/>
    <x v="5"/>
    <x v="15"/>
    <s v="N"/>
    <s v="N"/>
    <m/>
    <s v="C"/>
    <n v="2"/>
    <m/>
    <m/>
    <m/>
    <m/>
    <m/>
    <m/>
    <m/>
    <n v="1"/>
    <n v="0"/>
    <n v="1"/>
    <n v="0"/>
    <n v="5"/>
    <n v="0"/>
    <n v="1"/>
    <n v="0"/>
    <n v="1"/>
  </r>
  <r>
    <s v="0_2_CS3"/>
    <x v="3"/>
    <x v="0"/>
    <n v="0"/>
    <m/>
    <m/>
    <m/>
    <m/>
    <m/>
    <m/>
    <n v="0"/>
    <m/>
    <b v="0"/>
    <m/>
    <n v="0"/>
    <n v="1"/>
    <x v="7"/>
    <n v="0"/>
    <n v="0"/>
    <n v="1"/>
    <n v="1"/>
    <x v="2"/>
    <x v="16"/>
    <s v="N"/>
    <s v="N"/>
    <m/>
    <s v="C"/>
    <n v="3"/>
    <m/>
    <m/>
    <m/>
    <m/>
    <m/>
    <m/>
    <m/>
    <n v="10"/>
    <n v="0"/>
    <n v="2"/>
    <n v="0"/>
    <n v="2"/>
    <n v="0"/>
    <n v="0"/>
    <n v="0"/>
    <n v="0"/>
  </r>
  <r>
    <s v="0_4_CS3"/>
    <x v="3"/>
    <x v="1"/>
    <n v="0"/>
    <m/>
    <m/>
    <s v="r1"/>
    <m/>
    <m/>
    <s v="b2"/>
    <n v="0"/>
    <m/>
    <b v="0"/>
    <m/>
    <n v="0"/>
    <n v="1"/>
    <x v="4"/>
    <n v="0"/>
    <n v="0"/>
    <n v="1"/>
    <n v="1"/>
    <x v="4"/>
    <x v="16"/>
    <s v="N"/>
    <s v="N"/>
    <m/>
    <s v="C"/>
    <n v="3"/>
    <m/>
    <m/>
    <m/>
    <m/>
    <m/>
    <m/>
    <m/>
    <n v="11"/>
    <n v="10"/>
    <n v="4"/>
    <n v="2"/>
    <n v="4"/>
    <n v="2"/>
    <n v="0"/>
    <n v="0"/>
    <n v="0"/>
  </r>
  <r>
    <s v="1_2_CS3"/>
    <x v="3"/>
    <x v="0"/>
    <n v="0"/>
    <m/>
    <m/>
    <m/>
    <m/>
    <m/>
    <m/>
    <n v="0"/>
    <m/>
    <b v="0"/>
    <m/>
    <n v="0"/>
    <n v="2"/>
    <x v="7"/>
    <n v="0"/>
    <n v="1"/>
    <n v="1"/>
    <n v="2"/>
    <x v="2"/>
    <x v="16"/>
    <s v="N"/>
    <s v="N"/>
    <m/>
    <s v="C"/>
    <n v="3"/>
    <m/>
    <m/>
    <m/>
    <m/>
    <m/>
    <m/>
    <m/>
    <n v="10"/>
    <n v="0"/>
    <n v="2"/>
    <n v="0"/>
    <n v="2"/>
    <n v="0"/>
    <n v="0"/>
    <n v="0"/>
    <n v="0"/>
  </r>
  <r>
    <s v="1_4_CS3"/>
    <x v="3"/>
    <x v="1"/>
    <n v="0"/>
    <m/>
    <m/>
    <s v="r1"/>
    <m/>
    <m/>
    <s v="b2"/>
    <n v="0"/>
    <m/>
    <b v="0"/>
    <m/>
    <n v="0"/>
    <n v="2"/>
    <x v="4"/>
    <n v="0"/>
    <n v="1"/>
    <n v="1"/>
    <n v="2"/>
    <x v="4"/>
    <x v="16"/>
    <s v="N"/>
    <s v="N"/>
    <m/>
    <s v="C"/>
    <n v="3"/>
    <m/>
    <m/>
    <m/>
    <m/>
    <m/>
    <m/>
    <m/>
    <n v="11"/>
    <n v="10"/>
    <n v="4"/>
    <n v="2"/>
    <n v="4"/>
    <n v="2"/>
    <n v="0"/>
    <n v="0"/>
    <n v="0"/>
  </r>
  <r>
    <s v="2_2_CS3"/>
    <x v="3"/>
    <x v="0"/>
    <n v="0"/>
    <m/>
    <m/>
    <m/>
    <m/>
    <m/>
    <m/>
    <n v="0"/>
    <m/>
    <b v="0"/>
    <m/>
    <n v="0"/>
    <n v="3"/>
    <x v="7"/>
    <n v="0"/>
    <n v="2"/>
    <n v="1"/>
    <n v="3"/>
    <x v="2"/>
    <x v="16"/>
    <s v="N"/>
    <s v="N"/>
    <m/>
    <s v="C"/>
    <n v="3"/>
    <m/>
    <m/>
    <m/>
    <m/>
    <m/>
    <m/>
    <m/>
    <n v="10"/>
    <n v="0"/>
    <n v="2"/>
    <n v="0"/>
    <n v="2"/>
    <n v="0"/>
    <n v="0"/>
    <n v="0"/>
    <n v="0"/>
  </r>
  <r>
    <s v="2_4_CS3"/>
    <x v="3"/>
    <x v="0"/>
    <n v="0"/>
    <m/>
    <m/>
    <m/>
    <m/>
    <m/>
    <s v="b1"/>
    <n v="0"/>
    <m/>
    <b v="0"/>
    <m/>
    <n v="0"/>
    <n v="3"/>
    <x v="7"/>
    <n v="0"/>
    <n v="2"/>
    <n v="1"/>
    <n v="3"/>
    <x v="4"/>
    <x v="16"/>
    <s v="N"/>
    <s v="N"/>
    <m/>
    <s v="C"/>
    <n v="3"/>
    <m/>
    <m/>
    <m/>
    <m/>
    <m/>
    <m/>
    <m/>
    <n v="10"/>
    <n v="0"/>
    <n v="2"/>
    <n v="0"/>
    <n v="4"/>
    <n v="0"/>
    <n v="1"/>
    <n v="0"/>
    <n v="1"/>
  </r>
  <r>
    <s v="0_3_CS4"/>
    <x v="3"/>
    <x v="0"/>
    <m/>
    <n v="0"/>
    <m/>
    <m/>
    <m/>
    <m/>
    <m/>
    <m/>
    <n v="0"/>
    <b v="0"/>
    <m/>
    <n v="0"/>
    <n v="1"/>
    <x v="7"/>
    <n v="0"/>
    <n v="0"/>
    <n v="1"/>
    <n v="1"/>
    <x v="3"/>
    <x v="17"/>
    <s v="N"/>
    <s v="N"/>
    <s v="C"/>
    <s v="P"/>
    <n v="4"/>
    <m/>
    <m/>
    <m/>
    <m/>
    <m/>
    <m/>
    <m/>
    <n v="100"/>
    <n v="0"/>
    <n v="3"/>
    <n v="0"/>
    <n v="3"/>
    <n v="0"/>
    <n v="0"/>
    <n v="0"/>
    <n v="0"/>
  </r>
  <r>
    <s v="0_5_CS4"/>
    <x v="3"/>
    <x v="1"/>
    <m/>
    <n v="0"/>
    <m/>
    <s v="r1"/>
    <m/>
    <m/>
    <s v="b2"/>
    <m/>
    <n v="0"/>
    <b v="0"/>
    <m/>
    <n v="0"/>
    <n v="1"/>
    <x v="4"/>
    <n v="0"/>
    <n v="0"/>
    <n v="1"/>
    <n v="1"/>
    <x v="5"/>
    <x v="17"/>
    <s v="N"/>
    <s v="N"/>
    <s v="C"/>
    <s v="P"/>
    <n v="4"/>
    <m/>
    <m/>
    <m/>
    <m/>
    <m/>
    <m/>
    <m/>
    <n v="101"/>
    <n v="10"/>
    <n v="5"/>
    <n v="2"/>
    <n v="5"/>
    <n v="2"/>
    <n v="0"/>
    <n v="0"/>
    <n v="0"/>
  </r>
  <r>
    <s v="0_6_CS4"/>
    <x v="3"/>
    <x v="0"/>
    <s v="b3"/>
    <n v="0"/>
    <m/>
    <m/>
    <s v="r2"/>
    <m/>
    <m/>
    <s v="b3"/>
    <n v="0"/>
    <b v="0"/>
    <m/>
    <n v="0"/>
    <n v="1"/>
    <x v="6"/>
    <n v="0"/>
    <n v="0"/>
    <n v="1"/>
    <n v="1"/>
    <x v="6"/>
    <x v="17"/>
    <s v="N"/>
    <s v="N"/>
    <s v="C"/>
    <s v="P"/>
    <n v="4"/>
    <m/>
    <m/>
    <m/>
    <m/>
    <m/>
    <m/>
    <m/>
    <n v="110"/>
    <n v="100"/>
    <n v="6"/>
    <n v="3"/>
    <n v="6"/>
    <n v="3"/>
    <n v="0"/>
    <n v="0"/>
    <n v="0"/>
  </r>
  <r>
    <s v="0_7_CS4"/>
    <x v="3"/>
    <x v="1"/>
    <s v="b3"/>
    <n v="0"/>
    <m/>
    <s v="r1"/>
    <s v="r2"/>
    <m/>
    <s v="b2"/>
    <s v="b3"/>
    <n v="0"/>
    <b v="0"/>
    <m/>
    <n v="0"/>
    <n v="1"/>
    <x v="5"/>
    <n v="0"/>
    <n v="0"/>
    <n v="1"/>
    <n v="1"/>
    <x v="7"/>
    <x v="17"/>
    <s v="N"/>
    <s v="N"/>
    <s v="C"/>
    <s v="P"/>
    <n v="4"/>
    <m/>
    <m/>
    <m/>
    <m/>
    <m/>
    <m/>
    <m/>
    <n v="111"/>
    <n v="110"/>
    <n v="7"/>
    <n v="6"/>
    <n v="7"/>
    <n v="6"/>
    <n v="0"/>
    <n v="0"/>
    <n v="0"/>
  </r>
  <r>
    <s v="1_3_CS4"/>
    <x v="3"/>
    <x v="0"/>
    <m/>
    <n v="0"/>
    <m/>
    <m/>
    <m/>
    <m/>
    <m/>
    <m/>
    <n v="0"/>
    <b v="0"/>
    <m/>
    <n v="0"/>
    <n v="2"/>
    <x v="7"/>
    <n v="0"/>
    <n v="1"/>
    <n v="1"/>
    <n v="2"/>
    <x v="3"/>
    <x v="17"/>
    <s v="N"/>
    <s v="N"/>
    <s v="C"/>
    <s v="P"/>
    <n v="4"/>
    <m/>
    <m/>
    <m/>
    <m/>
    <m/>
    <m/>
    <m/>
    <n v="100"/>
    <n v="0"/>
    <n v="3"/>
    <n v="0"/>
    <n v="3"/>
    <n v="0"/>
    <n v="0"/>
    <n v="0"/>
    <n v="0"/>
  </r>
  <r>
    <s v="1_5_CS4"/>
    <x v="3"/>
    <x v="1"/>
    <m/>
    <n v="0"/>
    <m/>
    <s v="r1"/>
    <m/>
    <m/>
    <s v="b2"/>
    <m/>
    <n v="0"/>
    <b v="0"/>
    <m/>
    <n v="0"/>
    <n v="2"/>
    <x v="4"/>
    <n v="0"/>
    <n v="1"/>
    <n v="1"/>
    <n v="2"/>
    <x v="5"/>
    <x v="17"/>
    <s v="N"/>
    <s v="N"/>
    <s v="C"/>
    <s v="P"/>
    <n v="4"/>
    <m/>
    <m/>
    <m/>
    <m/>
    <m/>
    <m/>
    <m/>
    <n v="101"/>
    <n v="10"/>
    <n v="5"/>
    <n v="2"/>
    <n v="5"/>
    <n v="2"/>
    <n v="0"/>
    <n v="0"/>
    <n v="0"/>
  </r>
  <r>
    <s v="1_6_CS4"/>
    <x v="3"/>
    <x v="0"/>
    <s v="b3"/>
    <n v="0"/>
    <m/>
    <m/>
    <s v="r2"/>
    <m/>
    <m/>
    <s v="b3"/>
    <n v="0"/>
    <b v="0"/>
    <m/>
    <n v="0"/>
    <n v="2"/>
    <x v="6"/>
    <n v="0"/>
    <n v="1"/>
    <n v="1"/>
    <n v="2"/>
    <x v="6"/>
    <x v="17"/>
    <s v="N"/>
    <s v="N"/>
    <s v="C"/>
    <s v="P"/>
    <n v="4"/>
    <m/>
    <m/>
    <m/>
    <m/>
    <m/>
    <m/>
    <m/>
    <n v="110"/>
    <n v="100"/>
    <n v="6"/>
    <n v="3"/>
    <n v="6"/>
    <n v="3"/>
    <n v="0"/>
    <n v="0"/>
    <n v="0"/>
  </r>
  <r>
    <s v="1_7_CS4"/>
    <x v="3"/>
    <x v="1"/>
    <s v="b3"/>
    <n v="0"/>
    <m/>
    <s v="r1"/>
    <s v="r2"/>
    <m/>
    <s v="b2"/>
    <s v="b3"/>
    <n v="0"/>
    <b v="0"/>
    <m/>
    <n v="0"/>
    <n v="2"/>
    <x v="5"/>
    <n v="0"/>
    <n v="1"/>
    <n v="1"/>
    <n v="2"/>
    <x v="7"/>
    <x v="17"/>
    <s v="N"/>
    <s v="N"/>
    <s v="C"/>
    <s v="P"/>
    <n v="4"/>
    <m/>
    <m/>
    <m/>
    <m/>
    <m/>
    <m/>
    <m/>
    <n v="111"/>
    <n v="110"/>
    <n v="7"/>
    <n v="6"/>
    <n v="7"/>
    <n v="6"/>
    <n v="0"/>
    <n v="0"/>
    <n v="0"/>
  </r>
  <r>
    <s v="2_3_CS4"/>
    <x v="3"/>
    <x v="0"/>
    <m/>
    <n v="0"/>
    <m/>
    <m/>
    <m/>
    <m/>
    <m/>
    <m/>
    <n v="0"/>
    <b v="0"/>
    <m/>
    <n v="0"/>
    <n v="3"/>
    <x v="7"/>
    <n v="0"/>
    <n v="2"/>
    <n v="1"/>
    <n v="3"/>
    <x v="3"/>
    <x v="17"/>
    <s v="N"/>
    <s v="N"/>
    <s v="C"/>
    <s v="P"/>
    <n v="4"/>
    <m/>
    <m/>
    <m/>
    <m/>
    <m/>
    <m/>
    <m/>
    <n v="100"/>
    <n v="0"/>
    <n v="3"/>
    <n v="0"/>
    <n v="3"/>
    <n v="0"/>
    <n v="0"/>
    <n v="0"/>
    <n v="0"/>
  </r>
  <r>
    <s v="2_5_CS4"/>
    <x v="3"/>
    <x v="0"/>
    <m/>
    <n v="0"/>
    <m/>
    <m/>
    <m/>
    <m/>
    <s v="b1"/>
    <m/>
    <n v="0"/>
    <b v="0"/>
    <m/>
    <n v="0"/>
    <n v="3"/>
    <x v="7"/>
    <n v="0"/>
    <n v="2"/>
    <n v="1"/>
    <n v="3"/>
    <x v="5"/>
    <x v="17"/>
    <s v="N"/>
    <s v="N"/>
    <s v="C"/>
    <s v="P"/>
    <n v="4"/>
    <m/>
    <m/>
    <m/>
    <m/>
    <m/>
    <m/>
    <m/>
    <n v="100"/>
    <n v="0"/>
    <n v="3"/>
    <n v="0"/>
    <n v="5"/>
    <n v="0"/>
    <n v="1"/>
    <n v="0"/>
    <n v="1"/>
  </r>
  <r>
    <s v="2_6_CS4"/>
    <x v="3"/>
    <x v="0"/>
    <m/>
    <n v="0"/>
    <m/>
    <m/>
    <m/>
    <m/>
    <m/>
    <s v="b2"/>
    <n v="0"/>
    <b v="0"/>
    <m/>
    <n v="0"/>
    <n v="3"/>
    <x v="7"/>
    <n v="0"/>
    <n v="2"/>
    <n v="1"/>
    <n v="3"/>
    <x v="6"/>
    <x v="17"/>
    <s v="N"/>
    <s v="N"/>
    <s v="C"/>
    <s v="P"/>
    <n v="4"/>
    <m/>
    <m/>
    <m/>
    <m/>
    <m/>
    <m/>
    <m/>
    <n v="100"/>
    <n v="0"/>
    <n v="3"/>
    <n v="0"/>
    <n v="6"/>
    <n v="0"/>
    <n v="1"/>
    <n v="0"/>
    <n v="1"/>
  </r>
  <r>
    <s v="2_7_CS4"/>
    <x v="3"/>
    <x v="0"/>
    <m/>
    <n v="0"/>
    <m/>
    <m/>
    <m/>
    <m/>
    <s v="b1"/>
    <s v="b2"/>
    <n v="0"/>
    <b v="0"/>
    <m/>
    <n v="0"/>
    <n v="3"/>
    <x v="7"/>
    <n v="0"/>
    <n v="2"/>
    <n v="1"/>
    <n v="3"/>
    <x v="7"/>
    <x v="17"/>
    <s v="N"/>
    <s v="N"/>
    <s v="C"/>
    <s v="P"/>
    <n v="4"/>
    <m/>
    <m/>
    <m/>
    <m/>
    <m/>
    <m/>
    <m/>
    <n v="100"/>
    <n v="0"/>
    <n v="3"/>
    <n v="0"/>
    <n v="7"/>
    <n v="0"/>
    <n v="1"/>
    <n v="0"/>
    <n v="1"/>
  </r>
  <r>
    <s v="0_1_DFO"/>
    <x v="4"/>
    <x v="4"/>
    <m/>
    <m/>
    <s v="r1"/>
    <m/>
    <m/>
    <n v="0"/>
    <s v="b1"/>
    <m/>
    <m/>
    <b v="0"/>
    <m/>
    <n v="0"/>
    <n v="1"/>
    <x v="0"/>
    <n v="0"/>
    <n v="0"/>
    <n v="1"/>
    <n v="1"/>
    <x v="1"/>
    <x v="18"/>
    <s v="Y"/>
    <s v="N"/>
    <m/>
    <m/>
    <m/>
    <m/>
    <m/>
    <m/>
    <m/>
    <m/>
    <m/>
    <m/>
    <n v="1"/>
    <n v="1"/>
    <n v="1"/>
    <n v="1"/>
    <n v="1"/>
    <n v="1"/>
    <n v="0"/>
    <n v="0"/>
    <n v="0"/>
  </r>
  <r>
    <s v="0_2_DFO"/>
    <x v="4"/>
    <x v="0"/>
    <s v="b3"/>
    <m/>
    <m/>
    <m/>
    <s v="r2"/>
    <n v="0"/>
    <m/>
    <s v="b3"/>
    <m/>
    <b v="1"/>
    <m/>
    <n v="0"/>
    <n v="1"/>
    <x v="6"/>
    <n v="0"/>
    <n v="0"/>
    <n v="1"/>
    <n v="1"/>
    <x v="2"/>
    <x v="18"/>
    <s v="Y"/>
    <s v="N"/>
    <s v="LF"/>
    <s v="CF"/>
    <n v="3"/>
    <m/>
    <m/>
    <m/>
    <m/>
    <m/>
    <m/>
    <m/>
    <n v="10"/>
    <n v="100"/>
    <n v="2"/>
    <n v="3"/>
    <n v="2"/>
    <n v="3"/>
    <n v="0"/>
    <n v="0"/>
    <n v="0"/>
  </r>
  <r>
    <s v="0_3_DFO"/>
    <x v="4"/>
    <x v="0"/>
    <m/>
    <s v="b4"/>
    <m/>
    <m/>
    <m/>
    <n v="0"/>
    <m/>
    <m/>
    <s v="b4"/>
    <b v="1"/>
    <m/>
    <n v="1"/>
    <n v="1"/>
    <x v="7"/>
    <n v="1"/>
    <n v="0"/>
    <n v="1"/>
    <n v="1"/>
    <x v="3"/>
    <x v="18"/>
    <s v="Y"/>
    <s v="N"/>
    <m/>
    <m/>
    <n v="4"/>
    <m/>
    <m/>
    <m/>
    <m/>
    <m/>
    <m/>
    <m/>
    <n v="100"/>
    <n v="0"/>
    <n v="3"/>
    <n v="0"/>
    <n v="3"/>
    <n v="0"/>
    <n v="0"/>
    <n v="0"/>
    <n v="0"/>
  </r>
  <r>
    <s v="0_4_DFO"/>
    <x v="4"/>
    <x v="4"/>
    <s v="b3"/>
    <m/>
    <s v="r1"/>
    <m/>
    <s v="r2"/>
    <n v="0"/>
    <s v="b1"/>
    <s v="b3"/>
    <m/>
    <b v="1"/>
    <m/>
    <n v="0"/>
    <n v="1"/>
    <x v="2"/>
    <n v="0"/>
    <n v="0"/>
    <n v="1"/>
    <n v="1"/>
    <x v="4"/>
    <x v="18"/>
    <s v="Y"/>
    <s v="N"/>
    <s v="LF"/>
    <s v="CF"/>
    <n v="3"/>
    <m/>
    <m/>
    <m/>
    <m/>
    <m/>
    <m/>
    <m/>
    <n v="11"/>
    <n v="101"/>
    <n v="4"/>
    <n v="5"/>
    <n v="4"/>
    <n v="5"/>
    <n v="0"/>
    <n v="0"/>
    <n v="0"/>
  </r>
  <r>
    <s v="0_5_DFO"/>
    <x v="4"/>
    <x v="4"/>
    <m/>
    <s v="b4"/>
    <s v="r1"/>
    <m/>
    <m/>
    <n v="0"/>
    <s v="b1"/>
    <m/>
    <s v="b4"/>
    <b v="1"/>
    <m/>
    <n v="1"/>
    <n v="1"/>
    <x v="0"/>
    <n v="1"/>
    <n v="0"/>
    <n v="1"/>
    <n v="1"/>
    <x v="5"/>
    <x v="18"/>
    <s v="Y"/>
    <s v="N"/>
    <m/>
    <m/>
    <n v="4"/>
    <m/>
    <m/>
    <m/>
    <m/>
    <m/>
    <m/>
    <m/>
    <n v="101"/>
    <n v="1"/>
    <n v="5"/>
    <n v="1"/>
    <n v="5"/>
    <n v="1"/>
    <n v="0"/>
    <n v="0"/>
    <n v="0"/>
  </r>
  <r>
    <s v="0_6_DFO"/>
    <x v="4"/>
    <x v="0"/>
    <s v="b3"/>
    <s v="b4"/>
    <m/>
    <m/>
    <s v="r2"/>
    <n v="0"/>
    <m/>
    <s v="b3"/>
    <s v="b4"/>
    <b v="1"/>
    <m/>
    <n v="1"/>
    <n v="1"/>
    <x v="6"/>
    <n v="1"/>
    <n v="0"/>
    <n v="1"/>
    <n v="1"/>
    <x v="6"/>
    <x v="18"/>
    <s v="Y"/>
    <s v="N"/>
    <m/>
    <m/>
    <n v="4"/>
    <m/>
    <m/>
    <m/>
    <m/>
    <m/>
    <m/>
    <m/>
    <n v="110"/>
    <n v="100"/>
    <n v="6"/>
    <n v="3"/>
    <n v="6"/>
    <n v="3"/>
    <n v="0"/>
    <n v="0"/>
    <n v="0"/>
  </r>
  <r>
    <s v="0_7_DFO"/>
    <x v="4"/>
    <x v="4"/>
    <s v="b3"/>
    <s v="b4"/>
    <s v="r1"/>
    <m/>
    <s v="r2"/>
    <n v="0"/>
    <s v="b1"/>
    <s v="b3"/>
    <s v="b4"/>
    <b v="1"/>
    <m/>
    <n v="1"/>
    <n v="1"/>
    <x v="2"/>
    <n v="1"/>
    <n v="0"/>
    <n v="1"/>
    <n v="1"/>
    <x v="7"/>
    <x v="18"/>
    <s v="Y"/>
    <s v="N"/>
    <m/>
    <m/>
    <n v="4"/>
    <m/>
    <m/>
    <m/>
    <m/>
    <m/>
    <m/>
    <m/>
    <n v="111"/>
    <n v="101"/>
    <n v="7"/>
    <n v="5"/>
    <n v="7"/>
    <n v="5"/>
    <n v="0"/>
    <n v="0"/>
    <n v="0"/>
  </r>
  <r>
    <s v="1_1_DFO"/>
    <x v="4"/>
    <x v="4"/>
    <m/>
    <m/>
    <s v="r1"/>
    <m/>
    <m/>
    <n v="0"/>
    <s v="b1"/>
    <m/>
    <m/>
    <b v="0"/>
    <m/>
    <n v="0"/>
    <n v="2"/>
    <x v="0"/>
    <n v="0"/>
    <n v="1"/>
    <n v="1"/>
    <n v="2"/>
    <x v="1"/>
    <x v="18"/>
    <s v="Y"/>
    <s v="N"/>
    <m/>
    <m/>
    <m/>
    <m/>
    <m/>
    <m/>
    <m/>
    <m/>
    <m/>
    <m/>
    <n v="1"/>
    <n v="1"/>
    <n v="1"/>
    <n v="1"/>
    <n v="1"/>
    <n v="1"/>
    <n v="0"/>
    <n v="0"/>
    <n v="0"/>
  </r>
  <r>
    <s v="1_2_DFO"/>
    <x v="4"/>
    <x v="0"/>
    <s v="b3"/>
    <m/>
    <m/>
    <m/>
    <s v="r2"/>
    <n v="0"/>
    <m/>
    <s v="b3"/>
    <m/>
    <b v="1"/>
    <m/>
    <n v="0"/>
    <n v="2"/>
    <x v="6"/>
    <n v="0"/>
    <n v="1"/>
    <n v="1"/>
    <n v="2"/>
    <x v="2"/>
    <x v="18"/>
    <s v="Y"/>
    <s v="N"/>
    <s v="LF"/>
    <s v="CF"/>
    <n v="3"/>
    <m/>
    <m/>
    <m/>
    <m/>
    <m/>
    <m/>
    <m/>
    <n v="10"/>
    <n v="100"/>
    <n v="2"/>
    <n v="3"/>
    <n v="2"/>
    <n v="3"/>
    <n v="0"/>
    <n v="0"/>
    <n v="0"/>
  </r>
  <r>
    <s v="1_3_DFO"/>
    <x v="4"/>
    <x v="0"/>
    <m/>
    <s v="b4"/>
    <m/>
    <m/>
    <m/>
    <n v="0"/>
    <m/>
    <m/>
    <s v="b4"/>
    <b v="1"/>
    <m/>
    <n v="1"/>
    <n v="2"/>
    <x v="7"/>
    <n v="1"/>
    <n v="1"/>
    <n v="1"/>
    <n v="2"/>
    <x v="3"/>
    <x v="18"/>
    <s v="Y"/>
    <s v="N"/>
    <m/>
    <m/>
    <n v="4"/>
    <m/>
    <m/>
    <m/>
    <m/>
    <m/>
    <m/>
    <m/>
    <n v="100"/>
    <n v="0"/>
    <n v="3"/>
    <n v="0"/>
    <n v="3"/>
    <n v="0"/>
    <n v="0"/>
    <n v="0"/>
    <n v="0"/>
  </r>
  <r>
    <s v="1_4_DFO"/>
    <x v="4"/>
    <x v="4"/>
    <s v="b3"/>
    <m/>
    <s v="r1"/>
    <m/>
    <s v="r2"/>
    <n v="0"/>
    <s v="b1"/>
    <s v="b3"/>
    <m/>
    <b v="1"/>
    <m/>
    <n v="0"/>
    <n v="2"/>
    <x v="2"/>
    <n v="0"/>
    <n v="1"/>
    <n v="1"/>
    <n v="2"/>
    <x v="4"/>
    <x v="18"/>
    <s v="Y"/>
    <s v="N"/>
    <s v="LF"/>
    <s v="CF"/>
    <n v="3"/>
    <m/>
    <m/>
    <m/>
    <m/>
    <m/>
    <m/>
    <m/>
    <n v="11"/>
    <n v="101"/>
    <n v="4"/>
    <n v="5"/>
    <n v="4"/>
    <n v="5"/>
    <n v="0"/>
    <n v="0"/>
    <n v="0"/>
  </r>
  <r>
    <s v="1_5_DFO"/>
    <x v="4"/>
    <x v="4"/>
    <m/>
    <s v="b4"/>
    <s v="r1"/>
    <m/>
    <m/>
    <n v="0"/>
    <s v="b1"/>
    <m/>
    <s v="b4"/>
    <b v="1"/>
    <m/>
    <n v="1"/>
    <n v="2"/>
    <x v="0"/>
    <n v="1"/>
    <n v="1"/>
    <n v="1"/>
    <n v="2"/>
    <x v="5"/>
    <x v="18"/>
    <s v="Y"/>
    <s v="N"/>
    <m/>
    <m/>
    <n v="4"/>
    <m/>
    <m/>
    <m/>
    <m/>
    <m/>
    <m/>
    <m/>
    <n v="101"/>
    <n v="1"/>
    <n v="5"/>
    <n v="1"/>
    <n v="5"/>
    <n v="1"/>
    <n v="0"/>
    <n v="0"/>
    <n v="0"/>
  </r>
  <r>
    <s v="1_6_DFO"/>
    <x v="4"/>
    <x v="0"/>
    <s v="b3"/>
    <s v="b4"/>
    <m/>
    <m/>
    <s v="r2"/>
    <n v="0"/>
    <m/>
    <s v="b3"/>
    <s v="b4"/>
    <b v="1"/>
    <m/>
    <n v="1"/>
    <n v="2"/>
    <x v="6"/>
    <n v="1"/>
    <n v="1"/>
    <n v="1"/>
    <n v="2"/>
    <x v="6"/>
    <x v="18"/>
    <s v="Y"/>
    <s v="N"/>
    <m/>
    <m/>
    <n v="4"/>
    <m/>
    <m/>
    <m/>
    <m/>
    <m/>
    <m/>
    <m/>
    <n v="110"/>
    <n v="100"/>
    <n v="6"/>
    <n v="3"/>
    <n v="6"/>
    <n v="3"/>
    <n v="0"/>
    <n v="0"/>
    <n v="0"/>
  </r>
  <r>
    <s v="1_7_DFO"/>
    <x v="4"/>
    <x v="4"/>
    <s v="b3"/>
    <s v="b4"/>
    <s v="r1"/>
    <m/>
    <s v="r2"/>
    <n v="0"/>
    <s v="b1"/>
    <s v="b3"/>
    <s v="b4"/>
    <b v="1"/>
    <m/>
    <n v="1"/>
    <n v="2"/>
    <x v="2"/>
    <n v="1"/>
    <n v="1"/>
    <n v="1"/>
    <n v="2"/>
    <x v="7"/>
    <x v="18"/>
    <s v="Y"/>
    <s v="N"/>
    <m/>
    <m/>
    <n v="4"/>
    <m/>
    <m/>
    <m/>
    <m/>
    <m/>
    <m/>
    <m/>
    <n v="111"/>
    <n v="101"/>
    <n v="7"/>
    <n v="5"/>
    <n v="7"/>
    <n v="5"/>
    <n v="0"/>
    <n v="0"/>
    <n v="0"/>
  </r>
  <r>
    <s v="0_1_DP"/>
    <x v="4"/>
    <x v="5"/>
    <m/>
    <m/>
    <m/>
    <m/>
    <m/>
    <n v="0"/>
    <n v="0"/>
    <m/>
    <m/>
    <b v="0"/>
    <m/>
    <n v="0"/>
    <n v="2"/>
    <x v="7"/>
    <n v="0"/>
    <n v="0"/>
    <n v="2"/>
    <n v="2"/>
    <x v="1"/>
    <x v="19"/>
    <s v="Y"/>
    <s v="N"/>
    <m/>
    <m/>
    <s v="2,1"/>
    <s v="2,1"/>
    <s v="2,1"/>
    <s v="2,1"/>
    <s v="2,1"/>
    <s v="2,1"/>
    <s v="2,1"/>
    <m/>
    <n v="1"/>
    <n v="0"/>
    <n v="1"/>
    <n v="0"/>
    <n v="1"/>
    <n v="0"/>
    <n v="0"/>
    <n v="0"/>
    <n v="0"/>
  </r>
  <r>
    <s v="1_1_DP"/>
    <x v="4"/>
    <x v="5"/>
    <m/>
    <m/>
    <m/>
    <m/>
    <m/>
    <n v="0"/>
    <n v="0"/>
    <m/>
    <m/>
    <b v="0"/>
    <m/>
    <n v="0"/>
    <n v="3"/>
    <x v="7"/>
    <n v="0"/>
    <n v="1"/>
    <n v="2"/>
    <n v="3"/>
    <x v="1"/>
    <x v="19"/>
    <s v="Y"/>
    <s v="N"/>
    <m/>
    <m/>
    <s v="2,1"/>
    <s v="2,1"/>
    <s v="2,1"/>
    <s v="2,1"/>
    <s v="2,1"/>
    <s v="2,1"/>
    <s v="2,1"/>
    <m/>
    <n v="1"/>
    <n v="0"/>
    <n v="1"/>
    <n v="0"/>
    <n v="1"/>
    <n v="0"/>
    <n v="0"/>
    <n v="0"/>
    <n v="0"/>
  </r>
  <r>
    <s v="1_7_DP21"/>
    <x v="4"/>
    <x v="5"/>
    <m/>
    <m/>
    <m/>
    <m/>
    <m/>
    <n v="0"/>
    <n v="0"/>
    <s v="b2"/>
    <s v="b3"/>
    <b v="0"/>
    <m/>
    <n v="0"/>
    <n v="3"/>
    <x v="7"/>
    <n v="0"/>
    <n v="1"/>
    <n v="2"/>
    <n v="3"/>
    <x v="7"/>
    <x v="20"/>
    <s v="Y"/>
    <s v="N"/>
    <m/>
    <m/>
    <s v="2,1"/>
    <s v="2,1"/>
    <s v="2,1"/>
    <s v="2,1"/>
    <s v="2,1"/>
    <s v="2,1"/>
    <s v="2,1"/>
    <m/>
    <n v="1"/>
    <n v="0"/>
    <n v="1"/>
    <n v="0"/>
    <n v="7"/>
    <n v="0"/>
    <n v="1"/>
    <n v="0"/>
    <n v="1"/>
  </r>
  <r>
    <s v="0_4_DP21"/>
    <x v="4"/>
    <x v="5"/>
    <s v="b3"/>
    <m/>
    <m/>
    <m/>
    <s v="r2"/>
    <n v="0"/>
    <n v="0"/>
    <s v="b3"/>
    <m/>
    <b v="0"/>
    <m/>
    <n v="0"/>
    <n v="2"/>
    <x v="6"/>
    <n v="0"/>
    <n v="0"/>
    <n v="2"/>
    <n v="2"/>
    <x v="4"/>
    <x v="20"/>
    <s v="Y"/>
    <s v="N"/>
    <m/>
    <m/>
    <s v="2,1"/>
    <s v="2,1"/>
    <s v="2,1"/>
    <s v="2,1"/>
    <s v="2,1"/>
    <s v="2,1"/>
    <s v="2,1"/>
    <m/>
    <n v="11"/>
    <n v="100"/>
    <n v="4"/>
    <n v="3"/>
    <n v="4"/>
    <n v="3"/>
    <n v="0"/>
    <n v="0"/>
    <n v="0"/>
  </r>
  <r>
    <s v="0_5_DP21"/>
    <x v="4"/>
    <x v="5"/>
    <m/>
    <s v="b3"/>
    <m/>
    <m/>
    <s v="r3"/>
    <n v="0"/>
    <n v="0"/>
    <m/>
    <s v="b3"/>
    <b v="0"/>
    <m/>
    <n v="0"/>
    <n v="2"/>
    <x v="6"/>
    <n v="0"/>
    <n v="0"/>
    <n v="2"/>
    <n v="2"/>
    <x v="5"/>
    <x v="20"/>
    <s v="Y"/>
    <s v="N"/>
    <m/>
    <m/>
    <s v="2,1"/>
    <s v="2,1"/>
    <s v="2,1"/>
    <s v="2,1"/>
    <s v="2,1"/>
    <s v="2,1"/>
    <s v="2,1"/>
    <m/>
    <n v="101"/>
    <n v="100"/>
    <n v="5"/>
    <n v="3"/>
    <n v="5"/>
    <n v="3"/>
    <n v="0"/>
    <n v="0"/>
    <n v="0"/>
  </r>
  <r>
    <s v="0_7_DP21"/>
    <x v="4"/>
    <x v="5"/>
    <s v="b3"/>
    <s v="b4"/>
    <m/>
    <m/>
    <s v="r2"/>
    <n v="0"/>
    <n v="0"/>
    <s v="b3"/>
    <s v="b4"/>
    <b v="0"/>
    <m/>
    <n v="1"/>
    <n v="2"/>
    <x v="6"/>
    <n v="1"/>
    <n v="0"/>
    <n v="2"/>
    <n v="2"/>
    <x v="7"/>
    <x v="20"/>
    <s v="Y"/>
    <s v="N"/>
    <m/>
    <m/>
    <s v="2,1"/>
    <s v="2,1"/>
    <s v="2,1"/>
    <s v="2,1"/>
    <s v="2,1"/>
    <s v="2,1"/>
    <s v="2,1"/>
    <m/>
    <n v="111"/>
    <n v="100"/>
    <n v="7"/>
    <n v="3"/>
    <n v="7"/>
    <n v="3"/>
    <n v="0"/>
    <n v="0"/>
    <n v="0"/>
  </r>
  <r>
    <s v="1_4_DP21"/>
    <x v="4"/>
    <x v="5"/>
    <m/>
    <m/>
    <m/>
    <m/>
    <m/>
    <n v="0"/>
    <n v="0"/>
    <s v="b2"/>
    <m/>
    <b v="0"/>
    <m/>
    <n v="0"/>
    <n v="3"/>
    <x v="7"/>
    <n v="0"/>
    <n v="1"/>
    <n v="2"/>
    <n v="3"/>
    <x v="4"/>
    <x v="20"/>
    <s v="Y"/>
    <s v="N"/>
    <m/>
    <m/>
    <s v="2,1"/>
    <s v="2,1"/>
    <s v="2,1"/>
    <s v="2,1"/>
    <s v="2,1"/>
    <s v="2,1"/>
    <s v="2,1"/>
    <m/>
    <n v="1"/>
    <n v="0"/>
    <n v="1"/>
    <n v="0"/>
    <n v="4"/>
    <n v="0"/>
    <n v="1"/>
    <n v="0"/>
    <n v="1"/>
  </r>
  <r>
    <s v="1_5_DP21"/>
    <x v="4"/>
    <x v="5"/>
    <m/>
    <m/>
    <m/>
    <m/>
    <m/>
    <n v="0"/>
    <n v="0"/>
    <m/>
    <s v="b3"/>
    <b v="0"/>
    <m/>
    <n v="0"/>
    <n v="3"/>
    <x v="7"/>
    <n v="0"/>
    <n v="1"/>
    <n v="2"/>
    <n v="3"/>
    <x v="5"/>
    <x v="20"/>
    <s v="Y"/>
    <s v="N"/>
    <m/>
    <m/>
    <s v="2,1"/>
    <s v="2,1"/>
    <s v="2,1"/>
    <s v="2,1"/>
    <s v="2,1"/>
    <s v="2,1"/>
    <s v="2,1"/>
    <m/>
    <n v="1"/>
    <n v="0"/>
    <n v="1"/>
    <n v="0"/>
    <n v="5"/>
    <n v="0"/>
    <n v="1"/>
    <n v="0"/>
    <n v="1"/>
  </r>
  <r>
    <s v="1_6_DP21"/>
    <x v="4"/>
    <x v="5"/>
    <m/>
    <m/>
    <m/>
    <m/>
    <m/>
    <n v="0"/>
    <m/>
    <n v="0"/>
    <s v="b3"/>
    <b v="0"/>
    <m/>
    <n v="0"/>
    <n v="3"/>
    <x v="7"/>
    <n v="0"/>
    <n v="1"/>
    <n v="2"/>
    <n v="3"/>
    <x v="6"/>
    <x v="20"/>
    <s v="Y"/>
    <s v="N"/>
    <m/>
    <m/>
    <s v="2,1"/>
    <s v="2,1"/>
    <s v="2,1"/>
    <s v="2,1"/>
    <s v="2,1"/>
    <s v="2,1"/>
    <s v="2,1"/>
    <m/>
    <n v="1"/>
    <n v="0"/>
    <n v="1"/>
    <n v="0"/>
    <n v="6"/>
    <n v="0"/>
    <n v="1"/>
    <n v="0"/>
    <n v="1"/>
  </r>
  <r>
    <s v="0_4_DP31"/>
    <x v="4"/>
    <x v="1"/>
    <n v="0"/>
    <m/>
    <m/>
    <s v="r1"/>
    <m/>
    <n v="0"/>
    <s v="b2"/>
    <n v="0"/>
    <m/>
    <b v="0"/>
    <m/>
    <n v="0"/>
    <n v="2"/>
    <x v="4"/>
    <n v="0"/>
    <n v="0"/>
    <n v="2"/>
    <n v="2"/>
    <x v="4"/>
    <x v="21"/>
    <s v="Y"/>
    <s v="N"/>
    <s v="2B"/>
    <s v="3B"/>
    <s v="3,1"/>
    <s v="3,1"/>
    <s v="3,1"/>
    <s v="3,1"/>
    <s v="3,1"/>
    <s v="3,1"/>
    <s v="3,1"/>
    <m/>
    <n v="11"/>
    <n v="10"/>
    <n v="4"/>
    <n v="2"/>
    <n v="4"/>
    <n v="2"/>
    <n v="0"/>
    <n v="0"/>
    <n v="0"/>
  </r>
  <r>
    <s v="0_7_DP31"/>
    <x v="4"/>
    <x v="1"/>
    <n v="0"/>
    <s v="b4"/>
    <m/>
    <s v="r1"/>
    <m/>
    <n v="0"/>
    <s v="b2"/>
    <n v="0"/>
    <s v="b4"/>
    <b v="0"/>
    <m/>
    <n v="1"/>
    <n v="2"/>
    <x v="4"/>
    <n v="1"/>
    <n v="0"/>
    <n v="2"/>
    <n v="2"/>
    <x v="7"/>
    <x v="21"/>
    <s v="Y"/>
    <s v="N"/>
    <s v="2B"/>
    <s v="3B"/>
    <s v="3,1"/>
    <s v="3,1"/>
    <s v="3,1"/>
    <s v="3,1"/>
    <s v="3,1"/>
    <s v="3,1"/>
    <s v="3,1"/>
    <m/>
    <n v="111"/>
    <n v="10"/>
    <n v="7"/>
    <n v="2"/>
    <n v="7"/>
    <n v="2"/>
    <n v="0"/>
    <n v="0"/>
    <n v="0"/>
  </r>
  <r>
    <s v="1_4_DP31"/>
    <x v="4"/>
    <x v="0"/>
    <n v="0"/>
    <m/>
    <m/>
    <m/>
    <m/>
    <n v="0"/>
    <s v="b1"/>
    <n v="0"/>
    <m/>
    <b v="0"/>
    <m/>
    <n v="0"/>
    <n v="3"/>
    <x v="7"/>
    <n v="0"/>
    <n v="1"/>
    <n v="2"/>
    <n v="3"/>
    <x v="4"/>
    <x v="21"/>
    <s v="Y"/>
    <s v="N"/>
    <s v="2B"/>
    <s v="3B"/>
    <s v="3,1"/>
    <s v="2,1"/>
    <s v="2,1"/>
    <s v="2,1"/>
    <s v="2,1"/>
    <s v="2,1"/>
    <s v="3,1"/>
    <m/>
    <n v="10"/>
    <n v="0"/>
    <n v="2"/>
    <n v="0"/>
    <n v="4"/>
    <n v="0"/>
    <n v="1"/>
    <n v="0"/>
    <n v="1"/>
  </r>
  <r>
    <s v="1_7_DP31"/>
    <x v="4"/>
    <x v="0"/>
    <n v="0"/>
    <m/>
    <m/>
    <m/>
    <m/>
    <n v="0"/>
    <s v="b1"/>
    <n v="0"/>
    <s v="b3"/>
    <b v="0"/>
    <m/>
    <n v="0"/>
    <n v="3"/>
    <x v="7"/>
    <n v="0"/>
    <n v="1"/>
    <n v="2"/>
    <n v="3"/>
    <x v="7"/>
    <x v="21"/>
    <s v="Y"/>
    <s v="N"/>
    <s v="2B"/>
    <s v="3B"/>
    <s v="3,1"/>
    <s v="2,1"/>
    <s v="2,1"/>
    <s v="2,1"/>
    <s v="2,1"/>
    <s v="2,1"/>
    <s v="3,1"/>
    <m/>
    <n v="10"/>
    <n v="0"/>
    <n v="2"/>
    <n v="0"/>
    <n v="7"/>
    <n v="0"/>
    <n v="1"/>
    <n v="0"/>
    <n v="1"/>
  </r>
  <r>
    <s v="0_7_DPH1"/>
    <x v="4"/>
    <x v="1"/>
    <s v="b3"/>
    <n v="0"/>
    <m/>
    <s v="r1"/>
    <s v="r2"/>
    <n v="0"/>
    <s v="b2"/>
    <s v="b3"/>
    <n v="0"/>
    <b v="0"/>
    <m/>
    <n v="0"/>
    <n v="2"/>
    <x v="5"/>
    <n v="0"/>
    <n v="0"/>
    <n v="2"/>
    <n v="2"/>
    <x v="7"/>
    <x v="22"/>
    <s v="Y"/>
    <s v="N"/>
    <m/>
    <m/>
    <s v="4,1"/>
    <s v="4,1"/>
    <s v="4,1"/>
    <s v="4,1"/>
    <s v="4,1"/>
    <s v="4,1"/>
    <s v="4,1"/>
    <m/>
    <n v="111"/>
    <n v="110"/>
    <n v="7"/>
    <n v="6"/>
    <n v="7"/>
    <n v="6"/>
    <n v="0"/>
    <n v="0"/>
    <n v="0"/>
  </r>
  <r>
    <s v="1_7_DPH1"/>
    <x v="4"/>
    <x v="0"/>
    <m/>
    <n v="0"/>
    <m/>
    <m/>
    <m/>
    <n v="0"/>
    <s v="b1"/>
    <s v="b2"/>
    <n v="0"/>
    <b v="0"/>
    <m/>
    <n v="0"/>
    <n v="3"/>
    <x v="7"/>
    <n v="0"/>
    <n v="1"/>
    <n v="2"/>
    <n v="3"/>
    <x v="7"/>
    <x v="22"/>
    <s v="Y"/>
    <s v="N"/>
    <m/>
    <m/>
    <s v="4,1"/>
    <s v="4,1"/>
    <s v="4,1"/>
    <s v="4,1"/>
    <s v="4,1"/>
    <s v="4,1"/>
    <s v="4,1"/>
    <m/>
    <n v="100"/>
    <n v="0"/>
    <n v="3"/>
    <n v="0"/>
    <n v="7"/>
    <n v="0"/>
    <n v="1"/>
    <n v="0"/>
    <n v="1"/>
  </r>
  <r>
    <s v="0_5_DPRun"/>
    <x v="4"/>
    <x v="5"/>
    <m/>
    <s v="b4"/>
    <m/>
    <m/>
    <m/>
    <n v="0"/>
    <n v="0"/>
    <m/>
    <s v="b4"/>
    <b v="0"/>
    <m/>
    <n v="1"/>
    <n v="2"/>
    <x v="7"/>
    <n v="1"/>
    <n v="0"/>
    <n v="2"/>
    <n v="2"/>
    <x v="5"/>
    <x v="23"/>
    <s v="Y"/>
    <s v="N"/>
    <m/>
    <m/>
    <s v="2,1"/>
    <s v="2,1"/>
    <s v="2,1"/>
    <s v="2,1"/>
    <s v="2,1"/>
    <s v="2,1"/>
    <s v="2,1"/>
    <m/>
    <n v="101"/>
    <n v="0"/>
    <n v="5"/>
    <n v="0"/>
    <n v="5"/>
    <n v="0"/>
    <n v="0"/>
    <n v="0"/>
    <n v="0"/>
  </r>
  <r>
    <s v="0_3_DSacF"/>
    <x v="4"/>
    <x v="0"/>
    <m/>
    <s v="b4"/>
    <m/>
    <m/>
    <m/>
    <n v="0"/>
    <m/>
    <m/>
    <s v="b4"/>
    <b v="1"/>
    <m/>
    <n v="1"/>
    <n v="1"/>
    <x v="7"/>
    <n v="1"/>
    <n v="0"/>
    <n v="1"/>
    <n v="1"/>
    <x v="3"/>
    <x v="24"/>
    <s v="N"/>
    <s v="N"/>
    <m/>
    <m/>
    <n v="4"/>
    <m/>
    <m/>
    <m/>
    <m/>
    <m/>
    <m/>
    <n v="4"/>
    <n v="100"/>
    <n v="0"/>
    <n v="3"/>
    <n v="0"/>
    <n v="3"/>
    <n v="0"/>
    <n v="0"/>
    <n v="0"/>
    <n v="0"/>
  </r>
  <r>
    <s v="0_5_DSacF"/>
    <x v="4"/>
    <x v="4"/>
    <m/>
    <s v="b4"/>
    <s v="r1"/>
    <m/>
    <m/>
    <n v="0"/>
    <s v="b1"/>
    <m/>
    <s v="b4"/>
    <b v="1"/>
    <m/>
    <n v="1"/>
    <n v="1"/>
    <x v="0"/>
    <n v="1"/>
    <n v="0"/>
    <n v="1"/>
    <n v="1"/>
    <x v="5"/>
    <x v="24"/>
    <s v="N"/>
    <s v="N"/>
    <m/>
    <m/>
    <n v="4"/>
    <m/>
    <m/>
    <m/>
    <m/>
    <m/>
    <m/>
    <n v="4"/>
    <n v="101"/>
    <n v="1"/>
    <n v="5"/>
    <n v="1"/>
    <n v="5"/>
    <n v="1"/>
    <n v="0"/>
    <n v="0"/>
    <n v="0"/>
  </r>
  <r>
    <s v="0_6_DSacF"/>
    <x v="4"/>
    <x v="0"/>
    <s v="b3"/>
    <s v="b4"/>
    <m/>
    <m/>
    <s v="r2"/>
    <n v="0"/>
    <m/>
    <s v="b3"/>
    <s v="b4"/>
    <b v="1"/>
    <m/>
    <n v="1"/>
    <n v="1"/>
    <x v="6"/>
    <n v="1"/>
    <n v="0"/>
    <n v="1"/>
    <n v="1"/>
    <x v="6"/>
    <x v="24"/>
    <s v="N"/>
    <s v="N"/>
    <m/>
    <m/>
    <n v="4"/>
    <m/>
    <m/>
    <m/>
    <m/>
    <m/>
    <m/>
    <n v="4"/>
    <n v="110"/>
    <n v="100"/>
    <n v="6"/>
    <n v="3"/>
    <n v="6"/>
    <n v="3"/>
    <n v="0"/>
    <n v="0"/>
    <n v="0"/>
  </r>
  <r>
    <s v="0_7_DSacF"/>
    <x v="4"/>
    <x v="4"/>
    <s v="b3"/>
    <s v="b4"/>
    <s v="r1"/>
    <m/>
    <s v="r2"/>
    <n v="0"/>
    <s v="b1"/>
    <s v="b3"/>
    <s v="b4"/>
    <b v="1"/>
    <m/>
    <n v="1"/>
    <n v="1"/>
    <x v="2"/>
    <n v="1"/>
    <n v="0"/>
    <n v="1"/>
    <n v="1"/>
    <x v="7"/>
    <x v="24"/>
    <s v="N"/>
    <s v="N"/>
    <m/>
    <m/>
    <n v="4"/>
    <m/>
    <m/>
    <m/>
    <m/>
    <m/>
    <m/>
    <n v="4"/>
    <n v="111"/>
    <n v="101"/>
    <n v="7"/>
    <n v="5"/>
    <n v="7"/>
    <n v="5"/>
    <n v="0"/>
    <n v="0"/>
    <n v="0"/>
  </r>
  <r>
    <s v="1_3_DSacF"/>
    <x v="4"/>
    <x v="0"/>
    <m/>
    <s v="b4"/>
    <m/>
    <m/>
    <m/>
    <n v="0"/>
    <m/>
    <m/>
    <s v="b4"/>
    <b v="1"/>
    <m/>
    <n v="1"/>
    <n v="2"/>
    <x v="7"/>
    <n v="1"/>
    <n v="1"/>
    <n v="1"/>
    <n v="2"/>
    <x v="3"/>
    <x v="24"/>
    <s v="N"/>
    <s v="N"/>
    <m/>
    <m/>
    <n v="4"/>
    <m/>
    <m/>
    <m/>
    <m/>
    <m/>
    <m/>
    <n v="4"/>
    <n v="100"/>
    <n v="0"/>
    <n v="3"/>
    <n v="0"/>
    <n v="3"/>
    <n v="0"/>
    <n v="0"/>
    <n v="0"/>
    <n v="0"/>
  </r>
  <r>
    <s v="1_5_DSacF"/>
    <x v="4"/>
    <x v="4"/>
    <m/>
    <s v="b4"/>
    <s v="r1"/>
    <m/>
    <m/>
    <n v="0"/>
    <s v="b1"/>
    <m/>
    <s v="b4"/>
    <b v="1"/>
    <m/>
    <n v="1"/>
    <n v="2"/>
    <x v="0"/>
    <n v="1"/>
    <n v="1"/>
    <n v="1"/>
    <n v="2"/>
    <x v="5"/>
    <x v="24"/>
    <s v="N"/>
    <s v="N"/>
    <m/>
    <m/>
    <n v="4"/>
    <m/>
    <m/>
    <m/>
    <m/>
    <m/>
    <m/>
    <n v="4"/>
    <n v="101"/>
    <n v="1"/>
    <n v="5"/>
    <n v="1"/>
    <n v="5"/>
    <n v="1"/>
    <n v="0"/>
    <n v="0"/>
    <n v="0"/>
  </r>
  <r>
    <s v="1_6_DSacF"/>
    <x v="4"/>
    <x v="0"/>
    <s v="b3"/>
    <s v="b4"/>
    <m/>
    <m/>
    <s v="r2"/>
    <n v="0"/>
    <m/>
    <s v="b3"/>
    <s v="b4"/>
    <b v="1"/>
    <m/>
    <n v="1"/>
    <n v="2"/>
    <x v="6"/>
    <n v="1"/>
    <n v="1"/>
    <n v="1"/>
    <n v="2"/>
    <x v="6"/>
    <x v="24"/>
    <s v="N"/>
    <s v="N"/>
    <m/>
    <m/>
    <n v="4"/>
    <m/>
    <m/>
    <m/>
    <m/>
    <m/>
    <m/>
    <n v="4"/>
    <n v="110"/>
    <n v="100"/>
    <n v="6"/>
    <n v="3"/>
    <n v="6"/>
    <n v="3"/>
    <n v="0"/>
    <n v="0"/>
    <n v="0"/>
  </r>
  <r>
    <s v="1_7_DSacF"/>
    <x v="4"/>
    <x v="4"/>
    <s v="b3"/>
    <s v="b4"/>
    <s v="r1"/>
    <m/>
    <s v="r2"/>
    <n v="0"/>
    <s v="b1"/>
    <s v="b3"/>
    <s v="b4"/>
    <b v="1"/>
    <m/>
    <n v="1"/>
    <n v="2"/>
    <x v="2"/>
    <n v="1"/>
    <n v="1"/>
    <n v="1"/>
    <n v="2"/>
    <x v="7"/>
    <x v="24"/>
    <s v="N"/>
    <s v="N"/>
    <m/>
    <m/>
    <n v="4"/>
    <m/>
    <m/>
    <m/>
    <m/>
    <m/>
    <m/>
    <n v="4"/>
    <n v="111"/>
    <n v="101"/>
    <n v="7"/>
    <n v="5"/>
    <n v="7"/>
    <n v="5"/>
    <n v="0"/>
    <n v="0"/>
    <n v="0"/>
  </r>
  <r>
    <s v="0_1_FC"/>
    <x v="0"/>
    <x v="5"/>
    <m/>
    <m/>
    <s v="B"/>
    <m/>
    <m/>
    <s v="b1"/>
    <n v="0"/>
    <m/>
    <m/>
    <b v="0"/>
    <m/>
    <n v="0"/>
    <n v="1"/>
    <x v="0"/>
    <n v="0"/>
    <n v="0"/>
    <n v="1"/>
    <n v="1"/>
    <x v="1"/>
    <x v="25"/>
    <s v="Y"/>
    <s v="N"/>
    <m/>
    <m/>
    <n v="2"/>
    <m/>
    <m/>
    <m/>
    <m/>
    <m/>
    <m/>
    <m/>
    <n v="1"/>
    <n v="1"/>
    <n v="1"/>
    <n v="1"/>
    <n v="1"/>
    <n v="1"/>
    <n v="0"/>
    <n v="0"/>
    <n v="0"/>
  </r>
  <r>
    <s v="0_4_FC"/>
    <x v="0"/>
    <x v="5"/>
    <s v="b3"/>
    <m/>
    <s v="B"/>
    <m/>
    <s v="r2"/>
    <s v="b1"/>
    <n v="0"/>
    <s v="b3"/>
    <m/>
    <b v="0"/>
    <m/>
    <n v="0"/>
    <n v="1"/>
    <x v="2"/>
    <n v="0"/>
    <n v="0"/>
    <n v="1"/>
    <n v="1"/>
    <x v="4"/>
    <x v="25"/>
    <s v="Y"/>
    <s v="N"/>
    <m/>
    <m/>
    <n v="2"/>
    <m/>
    <m/>
    <m/>
    <m/>
    <m/>
    <m/>
    <m/>
    <n v="11"/>
    <n v="101"/>
    <n v="4"/>
    <n v="5"/>
    <n v="4"/>
    <n v="5"/>
    <n v="0"/>
    <n v="0"/>
    <n v="0"/>
  </r>
  <r>
    <s v="0_5_FC"/>
    <x v="0"/>
    <x v="5"/>
    <m/>
    <s v="b3"/>
    <s v="B"/>
    <m/>
    <s v="r3"/>
    <s v="b1"/>
    <n v="0"/>
    <m/>
    <s v="b3"/>
    <b v="0"/>
    <m/>
    <n v="0"/>
    <n v="1"/>
    <x v="2"/>
    <n v="0"/>
    <n v="0"/>
    <n v="1"/>
    <n v="1"/>
    <x v="5"/>
    <x v="25"/>
    <s v="Y"/>
    <s v="N"/>
    <m/>
    <m/>
    <n v="2"/>
    <m/>
    <m/>
    <m/>
    <m/>
    <m/>
    <m/>
    <m/>
    <n v="101"/>
    <n v="101"/>
    <n v="5"/>
    <n v="5"/>
    <n v="5"/>
    <n v="5"/>
    <n v="0"/>
    <n v="0"/>
    <n v="0"/>
  </r>
  <r>
    <s v="1_1_FC"/>
    <x v="0"/>
    <x v="5"/>
    <m/>
    <m/>
    <s v="B"/>
    <m/>
    <m/>
    <s v="b1"/>
    <n v="0"/>
    <m/>
    <m/>
    <b v="0"/>
    <m/>
    <n v="0"/>
    <n v="2"/>
    <x v="0"/>
    <n v="0"/>
    <n v="1"/>
    <n v="1"/>
    <n v="2"/>
    <x v="1"/>
    <x v="25"/>
    <s v="Y"/>
    <s v="N"/>
    <m/>
    <m/>
    <n v="2"/>
    <m/>
    <m/>
    <m/>
    <m/>
    <m/>
    <m/>
    <m/>
    <n v="1"/>
    <n v="1"/>
    <n v="1"/>
    <n v="1"/>
    <n v="1"/>
    <n v="1"/>
    <n v="0"/>
    <n v="0"/>
    <n v="0"/>
  </r>
  <r>
    <s v="1_4_FC"/>
    <x v="0"/>
    <x v="5"/>
    <s v="b3"/>
    <m/>
    <s v="B"/>
    <m/>
    <s v="r2"/>
    <s v="b1"/>
    <n v="0"/>
    <s v="b3"/>
    <m/>
    <b v="0"/>
    <m/>
    <n v="0"/>
    <n v="2"/>
    <x v="2"/>
    <n v="0"/>
    <n v="1"/>
    <n v="1"/>
    <n v="2"/>
    <x v="4"/>
    <x v="25"/>
    <s v="Y"/>
    <s v="N"/>
    <m/>
    <m/>
    <n v="2"/>
    <m/>
    <m/>
    <m/>
    <m/>
    <m/>
    <m/>
    <m/>
    <n v="11"/>
    <n v="101"/>
    <n v="4"/>
    <n v="5"/>
    <n v="4"/>
    <n v="5"/>
    <n v="0"/>
    <n v="0"/>
    <n v="0"/>
  </r>
  <r>
    <s v="1_5_FC"/>
    <x v="0"/>
    <x v="5"/>
    <m/>
    <s v="b3"/>
    <s v="B"/>
    <m/>
    <s v="r3"/>
    <s v="b1"/>
    <n v="0"/>
    <m/>
    <s v="b3"/>
    <b v="0"/>
    <m/>
    <n v="0"/>
    <n v="2"/>
    <x v="2"/>
    <n v="0"/>
    <n v="1"/>
    <n v="1"/>
    <n v="2"/>
    <x v="5"/>
    <x v="25"/>
    <s v="Y"/>
    <s v="N"/>
    <m/>
    <m/>
    <n v="2"/>
    <m/>
    <m/>
    <m/>
    <m/>
    <m/>
    <m/>
    <m/>
    <n v="101"/>
    <n v="101"/>
    <n v="5"/>
    <n v="5"/>
    <n v="5"/>
    <n v="5"/>
    <n v="0"/>
    <n v="0"/>
    <n v="0"/>
  </r>
  <r>
    <s v="0_4_FC3rd"/>
    <x v="0"/>
    <x v="1"/>
    <n v="0"/>
    <m/>
    <s v="B"/>
    <s v="r1"/>
    <m/>
    <s v="b1"/>
    <s v="b2"/>
    <n v="0"/>
    <m/>
    <b v="0"/>
    <m/>
    <n v="0"/>
    <n v="1"/>
    <x v="1"/>
    <n v="0"/>
    <n v="0"/>
    <n v="1"/>
    <n v="1"/>
    <x v="4"/>
    <x v="26"/>
    <s v="Y"/>
    <s v="N"/>
    <m/>
    <m/>
    <n v="3"/>
    <m/>
    <m/>
    <m/>
    <m/>
    <m/>
    <m/>
    <m/>
    <n v="11"/>
    <n v="11"/>
    <n v="4"/>
    <n v="4"/>
    <n v="4"/>
    <n v="4"/>
    <n v="0"/>
    <n v="0"/>
    <n v="0"/>
  </r>
  <r>
    <s v="1_4_FC3rd"/>
    <x v="0"/>
    <x v="1"/>
    <n v="0"/>
    <m/>
    <s v="B"/>
    <s v="r1"/>
    <m/>
    <s v="b1"/>
    <s v="b2"/>
    <n v="0"/>
    <m/>
    <b v="0"/>
    <m/>
    <n v="0"/>
    <n v="2"/>
    <x v="1"/>
    <n v="0"/>
    <n v="1"/>
    <n v="1"/>
    <n v="2"/>
    <x v="4"/>
    <x v="26"/>
    <s v="Y"/>
    <s v="N"/>
    <m/>
    <m/>
    <n v="3"/>
    <m/>
    <m/>
    <m/>
    <m/>
    <m/>
    <m/>
    <m/>
    <n v="11"/>
    <n v="11"/>
    <n v="4"/>
    <n v="4"/>
    <n v="4"/>
    <n v="4"/>
    <n v="0"/>
    <n v="0"/>
    <n v="0"/>
  </r>
  <r>
    <s v="0_5_FCH"/>
    <x v="0"/>
    <x v="1"/>
    <m/>
    <n v="0"/>
    <s v="B"/>
    <s v="r1"/>
    <m/>
    <s v="b1"/>
    <s v="b2"/>
    <m/>
    <n v="0"/>
    <b v="0"/>
    <m/>
    <n v="0"/>
    <n v="1"/>
    <x v="1"/>
    <n v="0"/>
    <n v="0"/>
    <n v="1"/>
    <n v="1"/>
    <x v="5"/>
    <x v="27"/>
    <s v="Y"/>
    <s v="N"/>
    <m/>
    <m/>
    <n v="4"/>
    <m/>
    <m/>
    <m/>
    <m/>
    <m/>
    <m/>
    <m/>
    <n v="101"/>
    <n v="11"/>
    <n v="5"/>
    <n v="4"/>
    <n v="5"/>
    <n v="4"/>
    <n v="0"/>
    <n v="0"/>
    <n v="0"/>
  </r>
  <r>
    <s v="0_7_FCH"/>
    <x v="0"/>
    <x v="1"/>
    <s v="b3"/>
    <n v="0"/>
    <s v="B"/>
    <s v="r1"/>
    <s v="r2"/>
    <s v="b1"/>
    <s v="b2"/>
    <s v="b3"/>
    <n v="0"/>
    <b v="0"/>
    <m/>
    <n v="0"/>
    <n v="1"/>
    <x v="3"/>
    <n v="0"/>
    <n v="0"/>
    <n v="1"/>
    <n v="1"/>
    <x v="7"/>
    <x v="27"/>
    <s v="Y"/>
    <s v="N"/>
    <m/>
    <m/>
    <n v="4"/>
    <m/>
    <m/>
    <m/>
    <m/>
    <m/>
    <m/>
    <m/>
    <n v="111"/>
    <n v="111"/>
    <n v="7"/>
    <n v="7"/>
    <n v="7"/>
    <n v="7"/>
    <n v="0"/>
    <n v="0"/>
    <n v="0"/>
  </r>
  <r>
    <s v="1_5_FCH"/>
    <x v="0"/>
    <x v="1"/>
    <m/>
    <n v="0"/>
    <s v="B"/>
    <s v="r1"/>
    <m/>
    <s v="b1"/>
    <s v="b2"/>
    <m/>
    <n v="0"/>
    <b v="0"/>
    <m/>
    <n v="0"/>
    <n v="2"/>
    <x v="1"/>
    <n v="0"/>
    <n v="1"/>
    <n v="1"/>
    <n v="2"/>
    <x v="5"/>
    <x v="27"/>
    <s v="Y"/>
    <s v="N"/>
    <m/>
    <m/>
    <n v="4"/>
    <m/>
    <m/>
    <m/>
    <m/>
    <m/>
    <m/>
    <m/>
    <n v="101"/>
    <n v="11"/>
    <n v="5"/>
    <n v="4"/>
    <n v="5"/>
    <n v="4"/>
    <n v="0"/>
    <n v="0"/>
    <n v="0"/>
  </r>
  <r>
    <s v="1_7_FCH"/>
    <x v="0"/>
    <x v="1"/>
    <s v="b3"/>
    <n v="0"/>
    <s v="B"/>
    <s v="r1"/>
    <s v="r2"/>
    <s v="b1"/>
    <s v="b2"/>
    <s v="b3"/>
    <n v="0"/>
    <b v="0"/>
    <m/>
    <n v="0"/>
    <n v="2"/>
    <x v="3"/>
    <n v="0"/>
    <n v="1"/>
    <n v="1"/>
    <n v="2"/>
    <x v="7"/>
    <x v="27"/>
    <s v="Y"/>
    <s v="N"/>
    <m/>
    <m/>
    <n v="4"/>
    <m/>
    <m/>
    <m/>
    <m/>
    <m/>
    <m/>
    <m/>
    <n v="111"/>
    <n v="111"/>
    <n v="7"/>
    <n v="7"/>
    <n v="7"/>
    <n v="7"/>
    <n v="0"/>
    <n v="0"/>
    <n v="0"/>
  </r>
  <r>
    <s v="0_0_FO"/>
    <x v="4"/>
    <x v="0"/>
    <m/>
    <m/>
    <m/>
    <m/>
    <m/>
    <n v="0"/>
    <m/>
    <m/>
    <m/>
    <b v="0"/>
    <m/>
    <n v="0"/>
    <n v="1"/>
    <x v="7"/>
    <n v="0"/>
    <n v="0"/>
    <n v="1"/>
    <n v="1"/>
    <x v="0"/>
    <x v="28"/>
    <s v="Y"/>
    <s v="N"/>
    <m/>
    <m/>
    <m/>
    <m/>
    <m/>
    <m/>
    <m/>
    <m/>
    <m/>
    <m/>
    <n v="0"/>
    <n v="0"/>
    <n v="0"/>
    <n v="0"/>
    <n v="0"/>
    <n v="0"/>
    <n v="0"/>
    <n v="0"/>
    <n v="0"/>
  </r>
  <r>
    <s v="0_1_FO"/>
    <x v="4"/>
    <x v="4"/>
    <m/>
    <m/>
    <s v="r1"/>
    <m/>
    <m/>
    <n v="0"/>
    <s v="b1"/>
    <m/>
    <m/>
    <b v="0"/>
    <m/>
    <n v="0"/>
    <n v="1"/>
    <x v="0"/>
    <n v="0"/>
    <n v="0"/>
    <n v="1"/>
    <n v="1"/>
    <x v="1"/>
    <x v="28"/>
    <s v="Y"/>
    <s v="N"/>
    <m/>
    <m/>
    <m/>
    <m/>
    <m/>
    <m/>
    <m/>
    <m/>
    <m/>
    <m/>
    <n v="1"/>
    <n v="1"/>
    <n v="1"/>
    <n v="1"/>
    <n v="1"/>
    <n v="1"/>
    <n v="0"/>
    <n v="0"/>
    <n v="0"/>
  </r>
  <r>
    <s v="0_2_FO"/>
    <x v="4"/>
    <x v="0"/>
    <s v="b2"/>
    <m/>
    <m/>
    <s v="r2"/>
    <m/>
    <n v="0"/>
    <m/>
    <s v="b2"/>
    <m/>
    <b v="0"/>
    <m/>
    <n v="0"/>
    <n v="1"/>
    <x v="4"/>
    <n v="0"/>
    <n v="0"/>
    <n v="1"/>
    <n v="1"/>
    <x v="2"/>
    <x v="28"/>
    <s v="Y"/>
    <s v="N"/>
    <m/>
    <m/>
    <m/>
    <m/>
    <m/>
    <m/>
    <m/>
    <m/>
    <m/>
    <m/>
    <n v="10"/>
    <n v="10"/>
    <n v="2"/>
    <n v="2"/>
    <n v="2"/>
    <n v="2"/>
    <n v="0"/>
    <n v="0"/>
    <n v="0"/>
  </r>
  <r>
    <s v="0_3_FO"/>
    <x v="4"/>
    <x v="0"/>
    <m/>
    <s v="b4"/>
    <m/>
    <m/>
    <m/>
    <n v="0"/>
    <m/>
    <m/>
    <s v="b4"/>
    <b v="1"/>
    <m/>
    <n v="1"/>
    <n v="1"/>
    <x v="7"/>
    <n v="1"/>
    <n v="0"/>
    <n v="1"/>
    <n v="1"/>
    <x v="3"/>
    <x v="28"/>
    <s v="Y"/>
    <s v="N"/>
    <m/>
    <m/>
    <m/>
    <m/>
    <m/>
    <m/>
    <m/>
    <m/>
    <m/>
    <m/>
    <n v="100"/>
    <n v="0"/>
    <n v="3"/>
    <n v="0"/>
    <n v="3"/>
    <n v="0"/>
    <n v="0"/>
    <n v="0"/>
    <n v="0"/>
  </r>
  <r>
    <s v="0_4_FO"/>
    <x v="4"/>
    <x v="4"/>
    <s v="b2"/>
    <m/>
    <s v="r1"/>
    <s v="r2"/>
    <m/>
    <n v="0"/>
    <s v="b1"/>
    <s v="b2"/>
    <m/>
    <b v="0"/>
    <m/>
    <n v="0"/>
    <n v="1"/>
    <x v="1"/>
    <n v="0"/>
    <n v="0"/>
    <n v="1"/>
    <n v="1"/>
    <x v="4"/>
    <x v="28"/>
    <s v="Y"/>
    <s v="N"/>
    <m/>
    <m/>
    <m/>
    <m/>
    <m/>
    <m/>
    <m/>
    <m/>
    <m/>
    <m/>
    <n v="11"/>
    <n v="11"/>
    <n v="4"/>
    <n v="4"/>
    <n v="4"/>
    <n v="4"/>
    <n v="0"/>
    <n v="0"/>
    <n v="0"/>
  </r>
  <r>
    <s v="0_5_FO"/>
    <x v="4"/>
    <x v="4"/>
    <m/>
    <s v="b4"/>
    <s v="r1"/>
    <m/>
    <m/>
    <n v="0"/>
    <s v="b1"/>
    <m/>
    <s v="b4"/>
    <b v="1"/>
    <m/>
    <n v="1"/>
    <n v="1"/>
    <x v="0"/>
    <n v="1"/>
    <n v="0"/>
    <n v="1"/>
    <n v="1"/>
    <x v="5"/>
    <x v="28"/>
    <s v="Y"/>
    <s v="N"/>
    <m/>
    <m/>
    <m/>
    <m/>
    <m/>
    <m/>
    <m/>
    <m/>
    <m/>
    <m/>
    <n v="101"/>
    <n v="1"/>
    <n v="5"/>
    <n v="1"/>
    <n v="5"/>
    <n v="1"/>
    <n v="0"/>
    <n v="0"/>
    <n v="0"/>
  </r>
  <r>
    <s v="0_6_FO"/>
    <x v="4"/>
    <x v="0"/>
    <s v="b2"/>
    <s v="b4"/>
    <m/>
    <s v="r2"/>
    <m/>
    <n v="0"/>
    <m/>
    <s v="b2"/>
    <s v="b4"/>
    <b v="1"/>
    <m/>
    <n v="1"/>
    <n v="1"/>
    <x v="4"/>
    <n v="1"/>
    <n v="0"/>
    <n v="1"/>
    <n v="1"/>
    <x v="6"/>
    <x v="28"/>
    <s v="Y"/>
    <s v="N"/>
    <m/>
    <m/>
    <m/>
    <m/>
    <m/>
    <m/>
    <m/>
    <m/>
    <m/>
    <m/>
    <n v="110"/>
    <n v="10"/>
    <n v="6"/>
    <n v="2"/>
    <n v="6"/>
    <n v="2"/>
    <n v="0"/>
    <n v="0"/>
    <n v="0"/>
  </r>
  <r>
    <s v="0_7_FO"/>
    <x v="4"/>
    <x v="4"/>
    <s v="b2"/>
    <s v="b4"/>
    <s v="r1"/>
    <s v="r2"/>
    <m/>
    <n v="0"/>
    <s v="b1"/>
    <s v="b2"/>
    <s v="b4"/>
    <b v="1"/>
    <m/>
    <n v="1"/>
    <n v="1"/>
    <x v="1"/>
    <n v="1"/>
    <n v="0"/>
    <n v="1"/>
    <n v="1"/>
    <x v="7"/>
    <x v="28"/>
    <s v="Y"/>
    <s v="N"/>
    <m/>
    <m/>
    <m/>
    <m/>
    <m/>
    <m/>
    <m/>
    <m/>
    <m/>
    <m/>
    <n v="111"/>
    <n v="11"/>
    <n v="7"/>
    <n v="4"/>
    <n v="7"/>
    <n v="4"/>
    <n v="0"/>
    <n v="0"/>
    <n v="0"/>
  </r>
  <r>
    <s v="1_0_FO"/>
    <x v="4"/>
    <x v="0"/>
    <m/>
    <m/>
    <m/>
    <m/>
    <m/>
    <n v="0"/>
    <m/>
    <m/>
    <m/>
    <b v="0"/>
    <m/>
    <n v="0"/>
    <n v="2"/>
    <x v="7"/>
    <n v="0"/>
    <n v="1"/>
    <n v="1"/>
    <n v="2"/>
    <x v="0"/>
    <x v="28"/>
    <s v="Y"/>
    <s v="N"/>
    <m/>
    <m/>
    <m/>
    <m/>
    <m/>
    <m/>
    <m/>
    <m/>
    <m/>
    <m/>
    <n v="0"/>
    <n v="0"/>
    <n v="0"/>
    <n v="0"/>
    <n v="0"/>
    <n v="0"/>
    <n v="0"/>
    <n v="0"/>
    <n v="0"/>
  </r>
  <r>
    <s v="1_1_FO"/>
    <x v="4"/>
    <x v="4"/>
    <m/>
    <m/>
    <s v="r1"/>
    <m/>
    <m/>
    <n v="0"/>
    <s v="b1"/>
    <m/>
    <m/>
    <b v="0"/>
    <m/>
    <n v="0"/>
    <n v="2"/>
    <x v="0"/>
    <n v="0"/>
    <n v="1"/>
    <n v="1"/>
    <n v="2"/>
    <x v="1"/>
    <x v="28"/>
    <s v="Y"/>
    <s v="N"/>
    <m/>
    <m/>
    <m/>
    <m/>
    <m/>
    <m/>
    <m/>
    <m/>
    <m/>
    <m/>
    <n v="1"/>
    <n v="1"/>
    <n v="1"/>
    <n v="1"/>
    <n v="1"/>
    <n v="1"/>
    <n v="0"/>
    <n v="0"/>
    <n v="0"/>
  </r>
  <r>
    <s v="1_2_FO"/>
    <x v="4"/>
    <x v="0"/>
    <s v="b2"/>
    <m/>
    <m/>
    <s v="r2"/>
    <m/>
    <n v="0"/>
    <m/>
    <s v="b2"/>
    <m/>
    <b v="0"/>
    <m/>
    <n v="0"/>
    <n v="2"/>
    <x v="4"/>
    <n v="0"/>
    <n v="1"/>
    <n v="1"/>
    <n v="2"/>
    <x v="2"/>
    <x v="28"/>
    <s v="Y"/>
    <s v="N"/>
    <m/>
    <m/>
    <m/>
    <m/>
    <m/>
    <m/>
    <m/>
    <m/>
    <m/>
    <m/>
    <n v="10"/>
    <n v="10"/>
    <n v="2"/>
    <n v="2"/>
    <n v="2"/>
    <n v="2"/>
    <n v="0"/>
    <n v="0"/>
    <n v="0"/>
  </r>
  <r>
    <s v="1_3_FO"/>
    <x v="4"/>
    <x v="0"/>
    <m/>
    <s v="b4"/>
    <m/>
    <m/>
    <m/>
    <n v="0"/>
    <m/>
    <m/>
    <s v="b4"/>
    <b v="1"/>
    <m/>
    <n v="1"/>
    <n v="2"/>
    <x v="7"/>
    <n v="1"/>
    <n v="1"/>
    <n v="1"/>
    <n v="2"/>
    <x v="3"/>
    <x v="28"/>
    <s v="Y"/>
    <s v="N"/>
    <m/>
    <m/>
    <m/>
    <m/>
    <m/>
    <m/>
    <m/>
    <m/>
    <m/>
    <m/>
    <n v="100"/>
    <n v="0"/>
    <n v="3"/>
    <n v="0"/>
    <n v="3"/>
    <n v="0"/>
    <n v="0"/>
    <n v="0"/>
    <n v="0"/>
  </r>
  <r>
    <s v="1_4_FO"/>
    <x v="4"/>
    <x v="4"/>
    <s v="b2"/>
    <m/>
    <s v="r1"/>
    <s v="r2"/>
    <m/>
    <n v="0"/>
    <s v="b1"/>
    <s v="b2"/>
    <m/>
    <b v="0"/>
    <m/>
    <n v="0"/>
    <n v="2"/>
    <x v="1"/>
    <n v="0"/>
    <n v="1"/>
    <n v="1"/>
    <n v="2"/>
    <x v="4"/>
    <x v="28"/>
    <s v="Y"/>
    <s v="N"/>
    <m/>
    <m/>
    <m/>
    <m/>
    <m/>
    <m/>
    <m/>
    <m/>
    <m/>
    <m/>
    <n v="11"/>
    <n v="11"/>
    <n v="4"/>
    <n v="4"/>
    <n v="4"/>
    <n v="4"/>
    <n v="0"/>
    <n v="0"/>
    <n v="0"/>
  </r>
  <r>
    <s v="1_5_FO"/>
    <x v="4"/>
    <x v="4"/>
    <m/>
    <s v="b4"/>
    <s v="r1"/>
    <m/>
    <m/>
    <n v="0"/>
    <s v="b1"/>
    <m/>
    <s v="b4"/>
    <b v="1"/>
    <m/>
    <n v="1"/>
    <n v="2"/>
    <x v="0"/>
    <n v="1"/>
    <n v="1"/>
    <n v="1"/>
    <n v="2"/>
    <x v="5"/>
    <x v="28"/>
    <s v="Y"/>
    <s v="N"/>
    <m/>
    <m/>
    <m/>
    <m/>
    <m/>
    <m/>
    <m/>
    <m/>
    <m/>
    <m/>
    <n v="101"/>
    <n v="1"/>
    <n v="5"/>
    <n v="1"/>
    <n v="5"/>
    <n v="1"/>
    <n v="0"/>
    <n v="0"/>
    <n v="0"/>
  </r>
  <r>
    <s v="1_6_FO"/>
    <x v="4"/>
    <x v="0"/>
    <s v="b2"/>
    <s v="b4"/>
    <m/>
    <s v="r2"/>
    <m/>
    <n v="0"/>
    <m/>
    <s v="b2"/>
    <s v="b4"/>
    <b v="1"/>
    <m/>
    <n v="1"/>
    <n v="2"/>
    <x v="4"/>
    <n v="1"/>
    <n v="1"/>
    <n v="1"/>
    <n v="2"/>
    <x v="6"/>
    <x v="28"/>
    <s v="Y"/>
    <s v="N"/>
    <m/>
    <m/>
    <m/>
    <m/>
    <m/>
    <m/>
    <m/>
    <m/>
    <m/>
    <m/>
    <n v="110"/>
    <n v="10"/>
    <n v="6"/>
    <n v="2"/>
    <n v="6"/>
    <n v="2"/>
    <n v="0"/>
    <n v="0"/>
    <n v="0"/>
  </r>
  <r>
    <s v="1_7_FO"/>
    <x v="4"/>
    <x v="4"/>
    <s v="b2"/>
    <s v="b4"/>
    <s v="r1"/>
    <s v="r2"/>
    <m/>
    <n v="0"/>
    <s v="b1"/>
    <s v="b2"/>
    <s v="b4"/>
    <b v="1"/>
    <m/>
    <n v="1"/>
    <n v="2"/>
    <x v="1"/>
    <n v="1"/>
    <n v="1"/>
    <n v="1"/>
    <n v="2"/>
    <x v="7"/>
    <x v="28"/>
    <s v="Y"/>
    <s v="N"/>
    <m/>
    <m/>
    <m/>
    <m/>
    <m/>
    <m/>
    <m/>
    <m/>
    <m/>
    <m/>
    <n v="111"/>
    <n v="11"/>
    <n v="7"/>
    <n v="4"/>
    <n v="7"/>
    <n v="4"/>
    <n v="0"/>
    <n v="0"/>
    <n v="0"/>
  </r>
  <r>
    <s v="2_0_FO"/>
    <x v="4"/>
    <x v="0"/>
    <m/>
    <m/>
    <m/>
    <m/>
    <m/>
    <n v="0"/>
    <m/>
    <m/>
    <m/>
    <b v="0"/>
    <m/>
    <n v="0"/>
    <n v="3"/>
    <x v="7"/>
    <n v="0"/>
    <n v="2"/>
    <n v="1"/>
    <n v="3"/>
    <x v="0"/>
    <x v="28"/>
    <s v="Y"/>
    <s v="N"/>
    <m/>
    <m/>
    <m/>
    <m/>
    <m/>
    <m/>
    <m/>
    <m/>
    <m/>
    <m/>
    <n v="0"/>
    <n v="0"/>
    <n v="0"/>
    <n v="0"/>
    <n v="0"/>
    <n v="0"/>
    <n v="0"/>
    <n v="0"/>
    <n v="0"/>
  </r>
  <r>
    <s v="2_1_FO"/>
    <x v="4"/>
    <x v="0"/>
    <m/>
    <m/>
    <m/>
    <m/>
    <m/>
    <n v="0"/>
    <s v="b1"/>
    <m/>
    <m/>
    <b v="0"/>
    <m/>
    <n v="0"/>
    <n v="3"/>
    <x v="7"/>
    <n v="0"/>
    <n v="2"/>
    <n v="1"/>
    <n v="3"/>
    <x v="1"/>
    <x v="28"/>
    <s v="Y"/>
    <s v="N"/>
    <m/>
    <m/>
    <m/>
    <m/>
    <m/>
    <m/>
    <m/>
    <m/>
    <m/>
    <m/>
    <n v="0"/>
    <n v="0"/>
    <n v="0"/>
    <n v="0"/>
    <n v="1"/>
    <n v="0"/>
    <n v="1"/>
    <n v="0"/>
    <n v="1"/>
  </r>
  <r>
    <s v="2_2_FO"/>
    <x v="4"/>
    <x v="0"/>
    <m/>
    <m/>
    <m/>
    <m/>
    <m/>
    <n v="0"/>
    <m/>
    <s v="b2"/>
    <m/>
    <b v="0"/>
    <m/>
    <n v="0"/>
    <n v="3"/>
    <x v="7"/>
    <n v="0"/>
    <n v="2"/>
    <n v="1"/>
    <n v="3"/>
    <x v="2"/>
    <x v="28"/>
    <s v="Y"/>
    <s v="N"/>
    <m/>
    <m/>
    <m/>
    <m/>
    <m/>
    <m/>
    <m/>
    <m/>
    <m/>
    <m/>
    <n v="0"/>
    <n v="0"/>
    <n v="0"/>
    <n v="0"/>
    <n v="2"/>
    <n v="0"/>
    <n v="1"/>
    <n v="0"/>
    <n v="1"/>
  </r>
  <r>
    <s v="2_3_FO"/>
    <x v="4"/>
    <x v="0"/>
    <m/>
    <m/>
    <m/>
    <m/>
    <m/>
    <n v="0"/>
    <m/>
    <m/>
    <s v="b3"/>
    <b v="0"/>
    <m/>
    <n v="0"/>
    <n v="3"/>
    <x v="7"/>
    <n v="0"/>
    <n v="2"/>
    <n v="1"/>
    <n v="3"/>
    <x v="3"/>
    <x v="28"/>
    <s v="Y"/>
    <s v="N"/>
    <m/>
    <m/>
    <m/>
    <m/>
    <m/>
    <m/>
    <m/>
    <m/>
    <m/>
    <m/>
    <n v="0"/>
    <n v="0"/>
    <n v="0"/>
    <n v="0"/>
    <n v="3"/>
    <n v="0"/>
    <n v="1"/>
    <n v="0"/>
    <n v="1"/>
  </r>
  <r>
    <s v="2_4_FO"/>
    <x v="4"/>
    <x v="0"/>
    <m/>
    <m/>
    <m/>
    <m/>
    <m/>
    <n v="0"/>
    <s v="b1"/>
    <s v="b2"/>
    <m/>
    <b v="0"/>
    <m/>
    <n v="0"/>
    <n v="3"/>
    <x v="7"/>
    <n v="0"/>
    <n v="2"/>
    <n v="1"/>
    <n v="3"/>
    <x v="4"/>
    <x v="28"/>
    <s v="Y"/>
    <s v="N"/>
    <m/>
    <m/>
    <m/>
    <m/>
    <m/>
    <m/>
    <m/>
    <m/>
    <m/>
    <m/>
    <n v="0"/>
    <n v="0"/>
    <n v="0"/>
    <n v="0"/>
    <n v="4"/>
    <n v="0"/>
    <n v="1"/>
    <n v="0"/>
    <n v="1"/>
  </r>
  <r>
    <s v="2_5_FO"/>
    <x v="4"/>
    <x v="0"/>
    <m/>
    <m/>
    <m/>
    <m/>
    <m/>
    <n v="0"/>
    <s v="b1"/>
    <m/>
    <s v="b3"/>
    <b v="0"/>
    <m/>
    <n v="0"/>
    <n v="3"/>
    <x v="7"/>
    <n v="0"/>
    <n v="2"/>
    <n v="1"/>
    <n v="3"/>
    <x v="5"/>
    <x v="28"/>
    <s v="Y"/>
    <s v="N"/>
    <m/>
    <m/>
    <m/>
    <m/>
    <m/>
    <m/>
    <m/>
    <m/>
    <m/>
    <m/>
    <n v="0"/>
    <n v="0"/>
    <n v="0"/>
    <n v="0"/>
    <n v="5"/>
    <n v="0"/>
    <n v="1"/>
    <n v="0"/>
    <n v="1"/>
  </r>
  <r>
    <s v="2_6_FO"/>
    <x v="4"/>
    <x v="0"/>
    <m/>
    <m/>
    <m/>
    <m/>
    <m/>
    <n v="0"/>
    <m/>
    <s v="b2"/>
    <s v="b3"/>
    <b v="0"/>
    <m/>
    <n v="0"/>
    <n v="3"/>
    <x v="7"/>
    <n v="0"/>
    <n v="2"/>
    <n v="1"/>
    <n v="3"/>
    <x v="6"/>
    <x v="28"/>
    <s v="Y"/>
    <s v="N"/>
    <m/>
    <m/>
    <m/>
    <m/>
    <m/>
    <m/>
    <m/>
    <m/>
    <m/>
    <m/>
    <n v="0"/>
    <n v="0"/>
    <n v="0"/>
    <n v="0"/>
    <n v="6"/>
    <n v="0"/>
    <n v="1"/>
    <n v="0"/>
    <n v="1"/>
  </r>
  <r>
    <s v="2_7_FO"/>
    <x v="4"/>
    <x v="0"/>
    <m/>
    <m/>
    <m/>
    <m/>
    <m/>
    <n v="0"/>
    <s v="b1"/>
    <s v="b2"/>
    <s v="b3"/>
    <b v="0"/>
    <m/>
    <n v="0"/>
    <n v="3"/>
    <x v="7"/>
    <n v="0"/>
    <n v="2"/>
    <n v="1"/>
    <n v="3"/>
    <x v="7"/>
    <x v="28"/>
    <s v="Y"/>
    <s v="N"/>
    <m/>
    <m/>
    <m/>
    <m/>
    <m/>
    <m/>
    <m/>
    <m/>
    <m/>
    <m/>
    <n v="0"/>
    <n v="0"/>
    <n v="0"/>
    <n v="0"/>
    <n v="7"/>
    <n v="0"/>
    <n v="1"/>
    <n v="0"/>
    <n v="1"/>
  </r>
  <r>
    <s v="0_0_GO"/>
    <x v="4"/>
    <x v="0"/>
    <m/>
    <m/>
    <m/>
    <m/>
    <m/>
    <n v="0"/>
    <m/>
    <m/>
    <m/>
    <b v="0"/>
    <m/>
    <n v="0"/>
    <n v="1"/>
    <x v="7"/>
    <n v="0"/>
    <n v="0"/>
    <n v="1"/>
    <n v="1"/>
    <x v="0"/>
    <x v="29"/>
    <s v="Y"/>
    <s v="N"/>
    <m/>
    <m/>
    <n v="1"/>
    <m/>
    <m/>
    <m/>
    <m/>
    <m/>
    <m/>
    <m/>
    <n v="0"/>
    <n v="0"/>
    <n v="0"/>
    <n v="0"/>
    <n v="0"/>
    <n v="0"/>
    <n v="0"/>
    <n v="0"/>
    <n v="0"/>
  </r>
  <r>
    <s v="0_2_GO"/>
    <x v="4"/>
    <x v="0"/>
    <s v="b2"/>
    <m/>
    <m/>
    <s v="r2"/>
    <m/>
    <n v="0"/>
    <m/>
    <s v="b2"/>
    <m/>
    <b v="0"/>
    <m/>
    <n v="0"/>
    <n v="1"/>
    <x v="4"/>
    <n v="0"/>
    <n v="0"/>
    <n v="1"/>
    <n v="1"/>
    <x v="2"/>
    <x v="29"/>
    <s v="Y"/>
    <s v="N"/>
    <m/>
    <m/>
    <n v="1"/>
    <m/>
    <m/>
    <m/>
    <m/>
    <m/>
    <m/>
    <m/>
    <n v="10"/>
    <n v="10"/>
    <n v="2"/>
    <n v="2"/>
    <n v="2"/>
    <n v="2"/>
    <n v="0"/>
    <n v="0"/>
    <n v="0"/>
  </r>
  <r>
    <s v="0_3_GO"/>
    <x v="4"/>
    <x v="0"/>
    <m/>
    <s v="b3"/>
    <m/>
    <m/>
    <s v="r3"/>
    <n v="0"/>
    <m/>
    <m/>
    <s v="b3"/>
    <b v="0"/>
    <m/>
    <n v="0"/>
    <n v="1"/>
    <x v="6"/>
    <n v="0"/>
    <n v="0"/>
    <n v="1"/>
    <n v="1"/>
    <x v="3"/>
    <x v="29"/>
    <s v="Y"/>
    <s v="N"/>
    <m/>
    <m/>
    <n v="1"/>
    <m/>
    <m/>
    <m/>
    <m/>
    <m/>
    <m/>
    <m/>
    <n v="100"/>
    <n v="100"/>
    <n v="3"/>
    <n v="3"/>
    <n v="3"/>
    <n v="3"/>
    <n v="0"/>
    <n v="0"/>
    <n v="0"/>
  </r>
  <r>
    <s v="0_6_GO"/>
    <x v="4"/>
    <x v="0"/>
    <s v="b2"/>
    <s v="b3"/>
    <m/>
    <s v="r2"/>
    <s v="r3"/>
    <n v="0"/>
    <m/>
    <s v="b2"/>
    <s v="b3"/>
    <b v="0"/>
    <m/>
    <n v="0"/>
    <n v="1"/>
    <x v="5"/>
    <n v="0"/>
    <n v="0"/>
    <n v="1"/>
    <n v="1"/>
    <x v="6"/>
    <x v="29"/>
    <s v="Y"/>
    <s v="N"/>
    <m/>
    <m/>
    <n v="1"/>
    <m/>
    <m/>
    <m/>
    <m/>
    <m/>
    <m/>
    <m/>
    <n v="110"/>
    <n v="110"/>
    <n v="6"/>
    <n v="6"/>
    <n v="6"/>
    <n v="6"/>
    <n v="0"/>
    <n v="0"/>
    <n v="0"/>
  </r>
  <r>
    <s v="1_0_GO"/>
    <x v="4"/>
    <x v="0"/>
    <m/>
    <m/>
    <m/>
    <m/>
    <m/>
    <n v="0"/>
    <m/>
    <m/>
    <m/>
    <b v="0"/>
    <m/>
    <n v="0"/>
    <n v="2"/>
    <x v="7"/>
    <n v="0"/>
    <n v="1"/>
    <n v="1"/>
    <n v="2"/>
    <x v="0"/>
    <x v="29"/>
    <s v="Y"/>
    <s v="N"/>
    <m/>
    <m/>
    <n v="1"/>
    <m/>
    <m/>
    <m/>
    <m/>
    <m/>
    <m/>
    <m/>
    <n v="0"/>
    <n v="0"/>
    <n v="0"/>
    <n v="0"/>
    <n v="0"/>
    <n v="0"/>
    <n v="0"/>
    <n v="0"/>
    <n v="0"/>
  </r>
  <r>
    <s v="1_2_GO"/>
    <x v="4"/>
    <x v="0"/>
    <s v="b2"/>
    <m/>
    <m/>
    <s v="r2"/>
    <m/>
    <n v="0"/>
    <m/>
    <s v="b2"/>
    <m/>
    <b v="0"/>
    <m/>
    <n v="0"/>
    <n v="2"/>
    <x v="4"/>
    <n v="0"/>
    <n v="1"/>
    <n v="1"/>
    <n v="2"/>
    <x v="2"/>
    <x v="29"/>
    <s v="Y"/>
    <s v="N"/>
    <m/>
    <m/>
    <n v="1"/>
    <m/>
    <m/>
    <m/>
    <m/>
    <m/>
    <m/>
    <m/>
    <n v="10"/>
    <n v="10"/>
    <n v="2"/>
    <n v="2"/>
    <n v="2"/>
    <n v="2"/>
    <n v="0"/>
    <n v="0"/>
    <n v="0"/>
  </r>
  <r>
    <s v="1_3_GO"/>
    <x v="4"/>
    <x v="0"/>
    <m/>
    <s v="b3"/>
    <m/>
    <m/>
    <s v="r3"/>
    <n v="0"/>
    <m/>
    <m/>
    <s v="b3"/>
    <b v="0"/>
    <m/>
    <n v="0"/>
    <n v="2"/>
    <x v="6"/>
    <n v="0"/>
    <n v="1"/>
    <n v="1"/>
    <n v="2"/>
    <x v="3"/>
    <x v="29"/>
    <s v="Y"/>
    <s v="N"/>
    <m/>
    <m/>
    <n v="1"/>
    <m/>
    <m/>
    <m/>
    <m/>
    <m/>
    <m/>
    <m/>
    <n v="100"/>
    <n v="100"/>
    <n v="3"/>
    <n v="3"/>
    <n v="3"/>
    <n v="3"/>
    <n v="0"/>
    <n v="0"/>
    <n v="0"/>
  </r>
  <r>
    <s v="1_6_GO"/>
    <x v="4"/>
    <x v="0"/>
    <s v="b2"/>
    <s v="b3"/>
    <m/>
    <s v="r2"/>
    <s v="r3"/>
    <n v="0"/>
    <m/>
    <s v="b2"/>
    <s v="b3"/>
    <b v="0"/>
    <m/>
    <n v="0"/>
    <n v="2"/>
    <x v="5"/>
    <n v="0"/>
    <n v="1"/>
    <n v="1"/>
    <n v="2"/>
    <x v="6"/>
    <x v="29"/>
    <s v="Y"/>
    <s v="N"/>
    <m/>
    <m/>
    <n v="1"/>
    <m/>
    <m/>
    <m/>
    <m/>
    <m/>
    <m/>
    <m/>
    <n v="110"/>
    <n v="110"/>
    <n v="6"/>
    <n v="6"/>
    <n v="6"/>
    <n v="6"/>
    <n v="0"/>
    <n v="0"/>
    <n v="0"/>
  </r>
  <r>
    <s v="2_0_GO"/>
    <x v="4"/>
    <x v="0"/>
    <m/>
    <m/>
    <m/>
    <m/>
    <m/>
    <n v="0"/>
    <m/>
    <m/>
    <m/>
    <b v="0"/>
    <m/>
    <n v="0"/>
    <n v="3"/>
    <x v="7"/>
    <n v="0"/>
    <n v="2"/>
    <n v="1"/>
    <n v="3"/>
    <x v="0"/>
    <x v="29"/>
    <s v="Y"/>
    <s v="N"/>
    <m/>
    <m/>
    <n v="1"/>
    <m/>
    <m/>
    <m/>
    <m/>
    <m/>
    <m/>
    <m/>
    <n v="0"/>
    <n v="0"/>
    <n v="0"/>
    <n v="0"/>
    <n v="0"/>
    <n v="0"/>
    <n v="0"/>
    <n v="0"/>
    <n v="0"/>
  </r>
  <r>
    <s v="2_1_GO"/>
    <x v="4"/>
    <x v="0"/>
    <m/>
    <m/>
    <m/>
    <m/>
    <m/>
    <n v="0"/>
    <s v="b1"/>
    <m/>
    <m/>
    <b v="0"/>
    <m/>
    <n v="0"/>
    <n v="3"/>
    <x v="7"/>
    <n v="0"/>
    <n v="2"/>
    <n v="1"/>
    <n v="3"/>
    <x v="1"/>
    <x v="29"/>
    <s v="Y"/>
    <s v="N"/>
    <m/>
    <m/>
    <n v="1"/>
    <n v="1"/>
    <n v="1"/>
    <n v="1"/>
    <n v="1"/>
    <n v="1"/>
    <n v="1"/>
    <n v="1"/>
    <n v="0"/>
    <n v="0"/>
    <n v="0"/>
    <n v="0"/>
    <n v="1"/>
    <n v="0"/>
    <n v="1"/>
    <n v="0"/>
    <n v="1"/>
  </r>
  <r>
    <s v="2_2_GO"/>
    <x v="4"/>
    <x v="0"/>
    <m/>
    <m/>
    <m/>
    <m/>
    <m/>
    <n v="0"/>
    <m/>
    <s v="b2"/>
    <m/>
    <b v="0"/>
    <m/>
    <n v="0"/>
    <n v="3"/>
    <x v="7"/>
    <n v="0"/>
    <n v="2"/>
    <n v="1"/>
    <n v="3"/>
    <x v="2"/>
    <x v="29"/>
    <s v="Y"/>
    <s v="N"/>
    <m/>
    <m/>
    <n v="1"/>
    <n v="1"/>
    <n v="1"/>
    <n v="1"/>
    <n v="1"/>
    <n v="1"/>
    <n v="1"/>
    <n v="1"/>
    <n v="0"/>
    <n v="0"/>
    <n v="0"/>
    <n v="0"/>
    <n v="2"/>
    <n v="0"/>
    <n v="1"/>
    <n v="0"/>
    <n v="1"/>
  </r>
  <r>
    <s v="2_3_GO"/>
    <x v="4"/>
    <x v="0"/>
    <m/>
    <m/>
    <m/>
    <m/>
    <m/>
    <n v="0"/>
    <m/>
    <m/>
    <s v="b3"/>
    <b v="0"/>
    <m/>
    <n v="0"/>
    <n v="3"/>
    <x v="7"/>
    <n v="0"/>
    <n v="2"/>
    <n v="1"/>
    <n v="3"/>
    <x v="3"/>
    <x v="29"/>
    <s v="Y"/>
    <s v="N"/>
    <m/>
    <m/>
    <n v="1"/>
    <n v="1"/>
    <n v="1"/>
    <n v="1"/>
    <n v="1"/>
    <n v="1"/>
    <n v="1"/>
    <n v="1"/>
    <n v="0"/>
    <n v="0"/>
    <n v="0"/>
    <n v="0"/>
    <n v="3"/>
    <n v="0"/>
    <n v="1"/>
    <n v="0"/>
    <n v="1"/>
  </r>
  <r>
    <s v="2_4_GO"/>
    <x v="4"/>
    <x v="0"/>
    <m/>
    <m/>
    <m/>
    <m/>
    <m/>
    <n v="0"/>
    <s v="b1"/>
    <s v="b2"/>
    <m/>
    <b v="0"/>
    <m/>
    <n v="0"/>
    <n v="3"/>
    <x v="7"/>
    <n v="0"/>
    <n v="2"/>
    <n v="1"/>
    <n v="3"/>
    <x v="4"/>
    <x v="29"/>
    <s v="Y"/>
    <s v="N"/>
    <m/>
    <m/>
    <n v="1"/>
    <n v="1"/>
    <n v="1"/>
    <n v="1"/>
    <n v="1"/>
    <n v="1"/>
    <n v="3"/>
    <n v="1"/>
    <n v="0"/>
    <n v="0"/>
    <n v="0"/>
    <n v="0"/>
    <n v="4"/>
    <n v="0"/>
    <n v="1"/>
    <n v="0"/>
    <n v="1"/>
  </r>
  <r>
    <s v="2_5_GO"/>
    <x v="4"/>
    <x v="0"/>
    <m/>
    <m/>
    <m/>
    <m/>
    <m/>
    <n v="0"/>
    <s v="b1"/>
    <m/>
    <s v="b3"/>
    <b v="0"/>
    <m/>
    <n v="0"/>
    <n v="3"/>
    <x v="7"/>
    <n v="0"/>
    <n v="2"/>
    <n v="1"/>
    <n v="3"/>
    <x v="5"/>
    <x v="29"/>
    <s v="Y"/>
    <s v="N"/>
    <m/>
    <m/>
    <n v="1"/>
    <n v="1"/>
    <n v="1"/>
    <n v="1"/>
    <n v="1"/>
    <n v="1"/>
    <n v="1"/>
    <n v="1"/>
    <n v="0"/>
    <n v="0"/>
    <n v="0"/>
    <n v="0"/>
    <n v="5"/>
    <n v="0"/>
    <n v="1"/>
    <n v="0"/>
    <n v="1"/>
  </r>
  <r>
    <s v="2_6_GO"/>
    <x v="4"/>
    <x v="0"/>
    <m/>
    <m/>
    <m/>
    <m/>
    <m/>
    <n v="0"/>
    <m/>
    <s v="b2"/>
    <s v="b3"/>
    <b v="0"/>
    <m/>
    <n v="0"/>
    <n v="3"/>
    <x v="7"/>
    <n v="0"/>
    <n v="2"/>
    <n v="1"/>
    <n v="3"/>
    <x v="6"/>
    <x v="29"/>
    <s v="Y"/>
    <s v="N"/>
    <m/>
    <m/>
    <n v="1"/>
    <n v="1"/>
    <n v="1"/>
    <n v="1"/>
    <n v="1"/>
    <n v="1"/>
    <n v="1"/>
    <n v="1"/>
    <n v="0"/>
    <n v="0"/>
    <n v="0"/>
    <n v="0"/>
    <n v="6"/>
    <n v="0"/>
    <n v="1"/>
    <n v="0"/>
    <n v="1"/>
  </r>
  <r>
    <s v="2_7_GO"/>
    <x v="4"/>
    <x v="0"/>
    <m/>
    <m/>
    <m/>
    <m/>
    <m/>
    <n v="0"/>
    <s v="b1"/>
    <s v="b2"/>
    <s v="b3"/>
    <b v="0"/>
    <m/>
    <n v="0"/>
    <n v="3"/>
    <x v="7"/>
    <n v="0"/>
    <n v="2"/>
    <n v="1"/>
    <n v="3"/>
    <x v="7"/>
    <x v="29"/>
    <s v="Y"/>
    <s v="N"/>
    <m/>
    <m/>
    <n v="1"/>
    <n v="1"/>
    <n v="1"/>
    <n v="1"/>
    <n v="1"/>
    <n v="1"/>
    <n v="1"/>
    <n v="1"/>
    <n v="0"/>
    <n v="0"/>
    <n v="0"/>
    <n v="0"/>
    <n v="7"/>
    <n v="0"/>
    <n v="1"/>
    <n v="0"/>
    <n v="1"/>
  </r>
  <r>
    <s v="0_1_GORA"/>
    <x v="4"/>
    <x v="1"/>
    <m/>
    <m/>
    <m/>
    <s v="r1"/>
    <m/>
    <n v="0"/>
    <s v="b2"/>
    <m/>
    <m/>
    <b v="0"/>
    <m/>
    <n v="0"/>
    <n v="1"/>
    <x v="4"/>
    <n v="0"/>
    <n v="0"/>
    <n v="1"/>
    <n v="1"/>
    <x v="1"/>
    <x v="30"/>
    <s v="Y"/>
    <s v="N"/>
    <m/>
    <m/>
    <n v="1"/>
    <m/>
    <m/>
    <m/>
    <m/>
    <m/>
    <m/>
    <m/>
    <n v="1"/>
    <n v="10"/>
    <n v="1"/>
    <n v="2"/>
    <n v="1"/>
    <n v="2"/>
    <n v="0"/>
    <n v="0"/>
    <n v="0"/>
  </r>
  <r>
    <s v="0_2_GORA"/>
    <x v="4"/>
    <x v="0"/>
    <s v="b3"/>
    <m/>
    <m/>
    <m/>
    <s v="r2"/>
    <n v="0"/>
    <m/>
    <s v="b3"/>
    <m/>
    <b v="0"/>
    <m/>
    <n v="0"/>
    <n v="1"/>
    <x v="6"/>
    <n v="0"/>
    <n v="0"/>
    <n v="1"/>
    <n v="1"/>
    <x v="2"/>
    <x v="30"/>
    <s v="Y"/>
    <s v="N"/>
    <m/>
    <m/>
    <n v="1"/>
    <m/>
    <m/>
    <m/>
    <m/>
    <m/>
    <m/>
    <m/>
    <n v="10"/>
    <n v="100"/>
    <n v="2"/>
    <n v="3"/>
    <n v="2"/>
    <n v="3"/>
    <n v="0"/>
    <n v="0"/>
    <n v="0"/>
  </r>
  <r>
    <s v="0_3_GORA"/>
    <x v="4"/>
    <x v="0"/>
    <m/>
    <s v="b4"/>
    <m/>
    <m/>
    <m/>
    <n v="0"/>
    <m/>
    <m/>
    <s v="b4"/>
    <b v="0"/>
    <m/>
    <n v="1"/>
    <n v="1"/>
    <x v="7"/>
    <n v="1"/>
    <n v="0"/>
    <n v="1"/>
    <n v="1"/>
    <x v="3"/>
    <x v="30"/>
    <s v="Y"/>
    <s v="N"/>
    <m/>
    <m/>
    <n v="1"/>
    <m/>
    <m/>
    <m/>
    <m/>
    <m/>
    <m/>
    <m/>
    <n v="100"/>
    <n v="0"/>
    <n v="3"/>
    <n v="0"/>
    <n v="3"/>
    <n v="0"/>
    <n v="0"/>
    <n v="0"/>
    <n v="0"/>
  </r>
  <r>
    <s v="0_4_GORA"/>
    <x v="4"/>
    <x v="1"/>
    <s v="b3"/>
    <m/>
    <m/>
    <s v="r1"/>
    <s v="r2"/>
    <n v="0"/>
    <s v="b2"/>
    <s v="b3"/>
    <m/>
    <b v="0"/>
    <m/>
    <n v="0"/>
    <n v="1"/>
    <x v="5"/>
    <n v="0"/>
    <n v="0"/>
    <n v="1"/>
    <n v="1"/>
    <x v="4"/>
    <x v="30"/>
    <s v="Y"/>
    <s v="N"/>
    <m/>
    <m/>
    <n v="1"/>
    <m/>
    <m/>
    <m/>
    <m/>
    <m/>
    <m/>
    <m/>
    <n v="11"/>
    <n v="110"/>
    <n v="4"/>
    <n v="6"/>
    <n v="4"/>
    <n v="6"/>
    <n v="0"/>
    <n v="0"/>
    <n v="0"/>
  </r>
  <r>
    <s v="0_5_GORA"/>
    <x v="4"/>
    <x v="1"/>
    <m/>
    <s v="b4"/>
    <m/>
    <s v="r1"/>
    <m/>
    <n v="0"/>
    <s v="b2"/>
    <m/>
    <s v="b4"/>
    <b v="0"/>
    <m/>
    <n v="1"/>
    <n v="1"/>
    <x v="4"/>
    <n v="1"/>
    <n v="0"/>
    <n v="1"/>
    <n v="1"/>
    <x v="5"/>
    <x v="30"/>
    <s v="Y"/>
    <s v="N"/>
    <m/>
    <m/>
    <n v="1"/>
    <m/>
    <m/>
    <m/>
    <m/>
    <m/>
    <m/>
    <m/>
    <n v="101"/>
    <n v="10"/>
    <n v="5"/>
    <n v="2"/>
    <n v="5"/>
    <n v="2"/>
    <n v="0"/>
    <n v="0"/>
    <n v="0"/>
  </r>
  <r>
    <s v="0_6_GORA"/>
    <x v="4"/>
    <x v="0"/>
    <s v="b3"/>
    <s v="b4"/>
    <m/>
    <m/>
    <s v="r2"/>
    <n v="0"/>
    <m/>
    <s v="b3"/>
    <s v="b4"/>
    <b v="0"/>
    <m/>
    <n v="1"/>
    <n v="1"/>
    <x v="6"/>
    <n v="1"/>
    <n v="0"/>
    <n v="1"/>
    <n v="1"/>
    <x v="6"/>
    <x v="30"/>
    <s v="Y"/>
    <s v="N"/>
    <m/>
    <m/>
    <n v="1"/>
    <m/>
    <m/>
    <m/>
    <m/>
    <m/>
    <m/>
    <m/>
    <n v="110"/>
    <n v="100"/>
    <n v="6"/>
    <n v="3"/>
    <n v="6"/>
    <n v="3"/>
    <n v="0"/>
    <n v="0"/>
    <n v="0"/>
  </r>
  <r>
    <s v="0_7_GORA"/>
    <x v="4"/>
    <x v="1"/>
    <s v="b3"/>
    <s v="b4"/>
    <m/>
    <s v="r1"/>
    <s v="r2"/>
    <n v="0"/>
    <s v="b2"/>
    <s v="b3"/>
    <s v="b4"/>
    <b v="0"/>
    <m/>
    <n v="1"/>
    <n v="1"/>
    <x v="5"/>
    <n v="1"/>
    <n v="0"/>
    <n v="1"/>
    <n v="1"/>
    <x v="7"/>
    <x v="30"/>
    <s v="Y"/>
    <s v="N"/>
    <m/>
    <m/>
    <n v="1"/>
    <m/>
    <m/>
    <m/>
    <m/>
    <m/>
    <m/>
    <m/>
    <n v="111"/>
    <n v="110"/>
    <n v="7"/>
    <n v="6"/>
    <n v="7"/>
    <n v="6"/>
    <n v="0"/>
    <n v="0"/>
    <n v="0"/>
  </r>
  <r>
    <s v="1_1_GORA"/>
    <x v="4"/>
    <x v="1"/>
    <m/>
    <m/>
    <m/>
    <s v="r1"/>
    <m/>
    <n v="0"/>
    <s v="b2"/>
    <m/>
    <m/>
    <b v="0"/>
    <m/>
    <n v="0"/>
    <n v="2"/>
    <x v="4"/>
    <n v="0"/>
    <n v="1"/>
    <n v="1"/>
    <n v="2"/>
    <x v="1"/>
    <x v="30"/>
    <s v="Y"/>
    <s v="N"/>
    <m/>
    <m/>
    <n v="1"/>
    <m/>
    <m/>
    <m/>
    <m/>
    <m/>
    <m/>
    <m/>
    <n v="1"/>
    <n v="10"/>
    <n v="1"/>
    <n v="2"/>
    <n v="1"/>
    <n v="2"/>
    <n v="0"/>
    <n v="0"/>
    <n v="0"/>
  </r>
  <r>
    <s v="1_2_GORA"/>
    <x v="4"/>
    <x v="0"/>
    <s v="b3"/>
    <m/>
    <m/>
    <m/>
    <s v="r2"/>
    <n v="0"/>
    <m/>
    <s v="b3"/>
    <m/>
    <b v="0"/>
    <m/>
    <n v="0"/>
    <n v="2"/>
    <x v="6"/>
    <n v="0"/>
    <n v="1"/>
    <n v="1"/>
    <n v="2"/>
    <x v="2"/>
    <x v="30"/>
    <s v="Y"/>
    <s v="N"/>
    <m/>
    <m/>
    <n v="1"/>
    <m/>
    <m/>
    <m/>
    <m/>
    <m/>
    <m/>
    <m/>
    <n v="10"/>
    <n v="100"/>
    <n v="2"/>
    <n v="3"/>
    <n v="2"/>
    <n v="3"/>
    <n v="0"/>
    <n v="0"/>
    <n v="0"/>
  </r>
  <r>
    <s v="1_3_GORA"/>
    <x v="4"/>
    <x v="0"/>
    <m/>
    <s v="b4"/>
    <m/>
    <m/>
    <m/>
    <n v="0"/>
    <m/>
    <m/>
    <s v="b4"/>
    <b v="0"/>
    <m/>
    <n v="1"/>
    <n v="2"/>
    <x v="7"/>
    <n v="1"/>
    <n v="1"/>
    <n v="1"/>
    <n v="2"/>
    <x v="3"/>
    <x v="30"/>
    <s v="Y"/>
    <s v="N"/>
    <m/>
    <m/>
    <n v="1"/>
    <m/>
    <m/>
    <m/>
    <m/>
    <m/>
    <m/>
    <m/>
    <n v="100"/>
    <n v="0"/>
    <n v="3"/>
    <n v="0"/>
    <n v="3"/>
    <n v="0"/>
    <n v="0"/>
    <n v="0"/>
    <n v="0"/>
  </r>
  <r>
    <s v="1_4_GORA"/>
    <x v="4"/>
    <x v="1"/>
    <s v="b3"/>
    <m/>
    <m/>
    <s v="r1"/>
    <s v="r2"/>
    <n v="0"/>
    <s v="b2"/>
    <s v="b3"/>
    <m/>
    <b v="0"/>
    <m/>
    <n v="0"/>
    <n v="2"/>
    <x v="5"/>
    <n v="0"/>
    <n v="1"/>
    <n v="1"/>
    <n v="2"/>
    <x v="4"/>
    <x v="30"/>
    <s v="Y"/>
    <s v="N"/>
    <m/>
    <m/>
    <n v="1"/>
    <m/>
    <m/>
    <m/>
    <m/>
    <m/>
    <m/>
    <m/>
    <n v="11"/>
    <n v="110"/>
    <n v="4"/>
    <n v="6"/>
    <n v="4"/>
    <n v="6"/>
    <n v="0"/>
    <n v="0"/>
    <n v="0"/>
  </r>
  <r>
    <s v="1_5_GORA"/>
    <x v="4"/>
    <x v="1"/>
    <m/>
    <s v="b4"/>
    <m/>
    <s v="r1"/>
    <m/>
    <n v="0"/>
    <s v="b2"/>
    <m/>
    <s v="b4"/>
    <b v="0"/>
    <m/>
    <n v="1"/>
    <n v="2"/>
    <x v="4"/>
    <n v="1"/>
    <n v="1"/>
    <n v="1"/>
    <n v="2"/>
    <x v="5"/>
    <x v="30"/>
    <s v="Y"/>
    <s v="N"/>
    <m/>
    <m/>
    <n v="1"/>
    <m/>
    <m/>
    <m/>
    <m/>
    <m/>
    <m/>
    <m/>
    <n v="101"/>
    <n v="10"/>
    <n v="5"/>
    <n v="2"/>
    <n v="5"/>
    <n v="2"/>
    <n v="0"/>
    <n v="0"/>
    <n v="0"/>
  </r>
  <r>
    <s v="1_6_GORA"/>
    <x v="4"/>
    <x v="0"/>
    <s v="b3"/>
    <s v="b4"/>
    <m/>
    <m/>
    <s v="r2"/>
    <n v="0"/>
    <m/>
    <s v="b3"/>
    <s v="b4"/>
    <b v="0"/>
    <m/>
    <n v="1"/>
    <n v="2"/>
    <x v="6"/>
    <n v="1"/>
    <n v="1"/>
    <n v="1"/>
    <n v="2"/>
    <x v="6"/>
    <x v="30"/>
    <s v="Y"/>
    <s v="N"/>
    <m/>
    <m/>
    <n v="1"/>
    <m/>
    <m/>
    <m/>
    <m/>
    <m/>
    <m/>
    <m/>
    <n v="110"/>
    <n v="100"/>
    <n v="6"/>
    <n v="3"/>
    <n v="6"/>
    <n v="3"/>
    <n v="0"/>
    <n v="0"/>
    <n v="0"/>
  </r>
  <r>
    <s v="1_7_GORA"/>
    <x v="4"/>
    <x v="1"/>
    <s v="b3"/>
    <s v="b4"/>
    <m/>
    <s v="r1"/>
    <s v="r2"/>
    <n v="0"/>
    <s v="b2"/>
    <s v="b3"/>
    <s v="b4"/>
    <b v="0"/>
    <m/>
    <n v="1"/>
    <n v="2"/>
    <x v="5"/>
    <n v="1"/>
    <n v="1"/>
    <n v="1"/>
    <n v="2"/>
    <x v="7"/>
    <x v="30"/>
    <s v="Y"/>
    <s v="N"/>
    <m/>
    <m/>
    <n v="1"/>
    <m/>
    <m/>
    <m/>
    <m/>
    <m/>
    <m/>
    <m/>
    <n v="111"/>
    <n v="110"/>
    <n v="7"/>
    <n v="6"/>
    <n v="7"/>
    <n v="6"/>
    <n v="0"/>
    <n v="0"/>
    <n v="0"/>
  </r>
  <r>
    <s v="0_0_HR"/>
    <x v="5"/>
    <x v="0"/>
    <m/>
    <m/>
    <m/>
    <m/>
    <m/>
    <s v="b4"/>
    <m/>
    <m/>
    <m/>
    <b v="0"/>
    <m/>
    <n v="1"/>
    <n v="0"/>
    <x v="7"/>
    <n v="1"/>
    <n v="0"/>
    <n v="0"/>
    <n v="0"/>
    <x v="0"/>
    <x v="31"/>
    <s v="Y"/>
    <s v="Y"/>
    <m/>
    <m/>
    <m/>
    <m/>
    <m/>
    <m/>
    <m/>
    <m/>
    <m/>
    <m/>
    <n v="0"/>
    <n v="0"/>
    <n v="0"/>
    <n v="0"/>
    <n v="0"/>
    <n v="0"/>
    <n v="0"/>
    <n v="0"/>
    <n v="0"/>
  </r>
  <r>
    <s v="0_1_HR"/>
    <x v="5"/>
    <x v="3"/>
    <m/>
    <m/>
    <m/>
    <m/>
    <m/>
    <s v="b4"/>
    <s v="b4"/>
    <m/>
    <m/>
    <b v="0"/>
    <m/>
    <n v="2"/>
    <n v="0"/>
    <x v="7"/>
    <n v="2"/>
    <n v="0"/>
    <n v="0"/>
    <n v="0"/>
    <x v="1"/>
    <x v="31"/>
    <s v="Y"/>
    <s v="Y"/>
    <m/>
    <m/>
    <m/>
    <m/>
    <m/>
    <m/>
    <m/>
    <m/>
    <m/>
    <m/>
    <n v="1"/>
    <n v="0"/>
    <n v="1"/>
    <n v="0"/>
    <n v="1"/>
    <n v="0"/>
    <n v="0"/>
    <n v="0"/>
    <n v="0"/>
  </r>
  <r>
    <s v="0_2_HR"/>
    <x v="5"/>
    <x v="0"/>
    <s v="b4"/>
    <m/>
    <m/>
    <m/>
    <m/>
    <s v="b4"/>
    <m/>
    <s v="b4"/>
    <m/>
    <b v="0"/>
    <m/>
    <n v="2"/>
    <n v="0"/>
    <x v="7"/>
    <n v="2"/>
    <n v="0"/>
    <n v="0"/>
    <n v="0"/>
    <x v="2"/>
    <x v="31"/>
    <s v="Y"/>
    <s v="Y"/>
    <m/>
    <m/>
    <m/>
    <m/>
    <m/>
    <m/>
    <m/>
    <m/>
    <m/>
    <m/>
    <n v="10"/>
    <n v="0"/>
    <n v="2"/>
    <n v="0"/>
    <n v="2"/>
    <n v="0"/>
    <n v="0"/>
    <n v="0"/>
    <n v="0"/>
  </r>
  <r>
    <s v="0_3_HR"/>
    <x v="5"/>
    <x v="0"/>
    <m/>
    <s v="b4"/>
    <m/>
    <m/>
    <m/>
    <s v="b4"/>
    <m/>
    <m/>
    <s v="b4"/>
    <b v="0"/>
    <m/>
    <n v="2"/>
    <n v="0"/>
    <x v="7"/>
    <n v="2"/>
    <n v="0"/>
    <n v="0"/>
    <n v="0"/>
    <x v="3"/>
    <x v="31"/>
    <s v="Y"/>
    <s v="Y"/>
    <m/>
    <m/>
    <m/>
    <m/>
    <m/>
    <m/>
    <m/>
    <m/>
    <m/>
    <m/>
    <n v="100"/>
    <n v="0"/>
    <n v="3"/>
    <n v="0"/>
    <n v="3"/>
    <n v="0"/>
    <n v="0"/>
    <n v="0"/>
    <n v="0"/>
  </r>
  <r>
    <s v="0_4_HR"/>
    <x v="5"/>
    <x v="3"/>
    <s v="b4"/>
    <m/>
    <m/>
    <m/>
    <m/>
    <s v="b4"/>
    <s v="b4"/>
    <s v="b4"/>
    <m/>
    <b v="0"/>
    <m/>
    <n v="3"/>
    <n v="0"/>
    <x v="7"/>
    <n v="3"/>
    <n v="0"/>
    <n v="0"/>
    <n v="0"/>
    <x v="4"/>
    <x v="31"/>
    <s v="Y"/>
    <s v="Y"/>
    <m/>
    <m/>
    <m/>
    <m/>
    <m/>
    <m/>
    <m/>
    <m/>
    <m/>
    <m/>
    <n v="11"/>
    <n v="0"/>
    <n v="4"/>
    <n v="0"/>
    <n v="4"/>
    <n v="0"/>
    <n v="0"/>
    <n v="0"/>
    <n v="0"/>
  </r>
  <r>
    <s v="0_5_HR"/>
    <x v="5"/>
    <x v="3"/>
    <m/>
    <s v="b4"/>
    <m/>
    <m/>
    <m/>
    <s v="b4"/>
    <s v="b4"/>
    <m/>
    <s v="b4"/>
    <b v="0"/>
    <m/>
    <n v="3"/>
    <n v="0"/>
    <x v="7"/>
    <n v="3"/>
    <n v="0"/>
    <n v="0"/>
    <n v="0"/>
    <x v="5"/>
    <x v="31"/>
    <s v="Y"/>
    <s v="Y"/>
    <m/>
    <m/>
    <m/>
    <m/>
    <m/>
    <m/>
    <m/>
    <m/>
    <m/>
    <m/>
    <n v="101"/>
    <n v="0"/>
    <n v="5"/>
    <n v="0"/>
    <n v="5"/>
    <n v="0"/>
    <n v="0"/>
    <n v="0"/>
    <n v="0"/>
  </r>
  <r>
    <s v="0_6_HR"/>
    <x v="5"/>
    <x v="0"/>
    <s v="b4"/>
    <s v="b4"/>
    <m/>
    <m/>
    <m/>
    <s v="b4"/>
    <m/>
    <s v="b4"/>
    <s v="b4"/>
    <b v="0"/>
    <m/>
    <n v="3"/>
    <n v="0"/>
    <x v="7"/>
    <n v="3"/>
    <n v="0"/>
    <n v="0"/>
    <n v="0"/>
    <x v="6"/>
    <x v="31"/>
    <s v="Y"/>
    <s v="Y"/>
    <m/>
    <m/>
    <m/>
    <m/>
    <m/>
    <m/>
    <m/>
    <m/>
    <m/>
    <m/>
    <n v="110"/>
    <n v="0"/>
    <n v="6"/>
    <n v="0"/>
    <n v="6"/>
    <n v="0"/>
    <n v="0"/>
    <n v="0"/>
    <n v="0"/>
  </r>
  <r>
    <s v="0_7_HR"/>
    <x v="5"/>
    <x v="3"/>
    <s v="b4"/>
    <s v="b4"/>
    <m/>
    <m/>
    <m/>
    <s v="b4"/>
    <s v="b4"/>
    <s v="b4"/>
    <s v="b4"/>
    <b v="0"/>
    <m/>
    <n v="4"/>
    <n v="0"/>
    <x v="7"/>
    <n v="4"/>
    <n v="0"/>
    <n v="0"/>
    <n v="0"/>
    <x v="7"/>
    <x v="31"/>
    <s v="Y"/>
    <s v="Y"/>
    <m/>
    <m/>
    <m/>
    <m/>
    <m/>
    <m/>
    <m/>
    <m/>
    <m/>
    <m/>
    <n v="111"/>
    <n v="0"/>
    <n v="7"/>
    <n v="0"/>
    <n v="7"/>
    <n v="0"/>
    <n v="0"/>
    <n v="0"/>
    <n v="0"/>
  </r>
  <r>
    <s v="1_0_HR"/>
    <x v="5"/>
    <x v="0"/>
    <m/>
    <m/>
    <m/>
    <m/>
    <m/>
    <s v="b4"/>
    <m/>
    <m/>
    <m/>
    <b v="0"/>
    <m/>
    <n v="1"/>
    <n v="1"/>
    <x v="7"/>
    <n v="1"/>
    <n v="1"/>
    <n v="0"/>
    <n v="1"/>
    <x v="0"/>
    <x v="31"/>
    <s v="Y"/>
    <s v="Y"/>
    <m/>
    <m/>
    <m/>
    <m/>
    <m/>
    <m/>
    <m/>
    <m/>
    <m/>
    <m/>
    <n v="0"/>
    <n v="0"/>
    <n v="0"/>
    <n v="0"/>
    <n v="0"/>
    <n v="0"/>
    <n v="0"/>
    <n v="0"/>
    <n v="0"/>
  </r>
  <r>
    <s v="1_1_HR"/>
    <x v="5"/>
    <x v="3"/>
    <m/>
    <m/>
    <m/>
    <m/>
    <m/>
    <s v="b4"/>
    <s v="b4"/>
    <m/>
    <m/>
    <b v="0"/>
    <m/>
    <n v="2"/>
    <n v="1"/>
    <x v="7"/>
    <n v="2"/>
    <n v="1"/>
    <n v="0"/>
    <n v="1"/>
    <x v="1"/>
    <x v="31"/>
    <s v="Y"/>
    <s v="Y"/>
    <m/>
    <m/>
    <m/>
    <m/>
    <m/>
    <m/>
    <m/>
    <m/>
    <m/>
    <m/>
    <n v="1"/>
    <n v="0"/>
    <n v="1"/>
    <n v="0"/>
    <n v="1"/>
    <n v="0"/>
    <n v="0"/>
    <n v="0"/>
    <n v="0"/>
  </r>
  <r>
    <s v="1_2_HR"/>
    <x v="5"/>
    <x v="0"/>
    <s v="b4"/>
    <m/>
    <m/>
    <m/>
    <m/>
    <s v="b4"/>
    <m/>
    <s v="b4"/>
    <m/>
    <b v="0"/>
    <m/>
    <n v="2"/>
    <n v="1"/>
    <x v="7"/>
    <n v="2"/>
    <n v="1"/>
    <n v="0"/>
    <n v="1"/>
    <x v="2"/>
    <x v="31"/>
    <s v="Y"/>
    <s v="Y"/>
    <m/>
    <m/>
    <m/>
    <m/>
    <m/>
    <m/>
    <m/>
    <m/>
    <m/>
    <m/>
    <n v="10"/>
    <n v="0"/>
    <n v="2"/>
    <n v="0"/>
    <n v="2"/>
    <n v="0"/>
    <n v="0"/>
    <n v="0"/>
    <n v="0"/>
  </r>
  <r>
    <s v="1_3_HR"/>
    <x v="5"/>
    <x v="0"/>
    <m/>
    <s v="b4"/>
    <m/>
    <m/>
    <m/>
    <s v="b4"/>
    <m/>
    <m/>
    <s v="b4"/>
    <b v="0"/>
    <m/>
    <n v="2"/>
    <n v="1"/>
    <x v="7"/>
    <n v="2"/>
    <n v="1"/>
    <n v="0"/>
    <n v="1"/>
    <x v="3"/>
    <x v="31"/>
    <s v="Y"/>
    <s v="Y"/>
    <m/>
    <m/>
    <m/>
    <m/>
    <m/>
    <m/>
    <m/>
    <m/>
    <m/>
    <m/>
    <n v="100"/>
    <n v="0"/>
    <n v="3"/>
    <n v="0"/>
    <n v="3"/>
    <n v="0"/>
    <n v="0"/>
    <n v="0"/>
    <n v="0"/>
  </r>
  <r>
    <s v="1_4_HR"/>
    <x v="5"/>
    <x v="3"/>
    <s v="b4"/>
    <m/>
    <m/>
    <m/>
    <m/>
    <s v="b4"/>
    <s v="b4"/>
    <s v="b4"/>
    <m/>
    <b v="0"/>
    <m/>
    <n v="3"/>
    <n v="1"/>
    <x v="7"/>
    <n v="3"/>
    <n v="1"/>
    <n v="0"/>
    <n v="1"/>
    <x v="4"/>
    <x v="31"/>
    <s v="Y"/>
    <s v="Y"/>
    <m/>
    <m/>
    <m/>
    <m/>
    <m/>
    <m/>
    <m/>
    <m/>
    <m/>
    <m/>
    <n v="11"/>
    <n v="0"/>
    <n v="4"/>
    <n v="0"/>
    <n v="4"/>
    <n v="0"/>
    <n v="0"/>
    <n v="0"/>
    <n v="0"/>
  </r>
  <r>
    <s v="1_5_HR"/>
    <x v="5"/>
    <x v="3"/>
    <m/>
    <s v="b4"/>
    <m/>
    <m/>
    <m/>
    <s v="b4"/>
    <s v="b4"/>
    <m/>
    <s v="b4"/>
    <b v="0"/>
    <m/>
    <n v="3"/>
    <n v="1"/>
    <x v="7"/>
    <n v="3"/>
    <n v="1"/>
    <n v="0"/>
    <n v="1"/>
    <x v="5"/>
    <x v="31"/>
    <s v="Y"/>
    <s v="Y"/>
    <m/>
    <m/>
    <m/>
    <m/>
    <m/>
    <m/>
    <m/>
    <m/>
    <m/>
    <m/>
    <n v="101"/>
    <n v="0"/>
    <n v="5"/>
    <n v="0"/>
    <n v="5"/>
    <n v="0"/>
    <n v="0"/>
    <n v="0"/>
    <n v="0"/>
  </r>
  <r>
    <s v="1_6_HR"/>
    <x v="5"/>
    <x v="0"/>
    <s v="b4"/>
    <s v="b4"/>
    <m/>
    <m/>
    <m/>
    <s v="b4"/>
    <m/>
    <s v="b4"/>
    <s v="b4"/>
    <b v="0"/>
    <m/>
    <n v="3"/>
    <n v="1"/>
    <x v="7"/>
    <n v="3"/>
    <n v="1"/>
    <n v="0"/>
    <n v="1"/>
    <x v="6"/>
    <x v="31"/>
    <s v="Y"/>
    <s v="Y"/>
    <m/>
    <m/>
    <m/>
    <m/>
    <m/>
    <m/>
    <m/>
    <m/>
    <m/>
    <m/>
    <n v="110"/>
    <n v="0"/>
    <n v="6"/>
    <n v="0"/>
    <n v="6"/>
    <n v="0"/>
    <n v="0"/>
    <n v="0"/>
    <n v="0"/>
  </r>
  <r>
    <s v="1_7_HR"/>
    <x v="5"/>
    <x v="3"/>
    <s v="b4"/>
    <s v="b4"/>
    <m/>
    <m/>
    <m/>
    <s v="b4"/>
    <s v="b4"/>
    <s v="b4"/>
    <s v="b4"/>
    <b v="0"/>
    <m/>
    <n v="4"/>
    <n v="1"/>
    <x v="7"/>
    <n v="4"/>
    <n v="1"/>
    <n v="0"/>
    <n v="1"/>
    <x v="7"/>
    <x v="31"/>
    <s v="Y"/>
    <s v="Y"/>
    <m/>
    <m/>
    <m/>
    <m/>
    <m/>
    <m/>
    <m/>
    <m/>
    <m/>
    <m/>
    <n v="111"/>
    <n v="0"/>
    <n v="7"/>
    <n v="0"/>
    <n v="7"/>
    <n v="0"/>
    <n v="0"/>
    <n v="0"/>
    <n v="0"/>
  </r>
  <r>
    <s v="2_0_HR"/>
    <x v="5"/>
    <x v="0"/>
    <m/>
    <m/>
    <m/>
    <m/>
    <m/>
    <s v="b4"/>
    <m/>
    <m/>
    <m/>
    <b v="0"/>
    <m/>
    <n v="1"/>
    <n v="2"/>
    <x v="7"/>
    <n v="1"/>
    <n v="2"/>
    <n v="0"/>
    <n v="2"/>
    <x v="0"/>
    <x v="31"/>
    <s v="Y"/>
    <s v="Y"/>
    <m/>
    <m/>
    <m/>
    <m/>
    <m/>
    <m/>
    <m/>
    <m/>
    <m/>
    <m/>
    <n v="0"/>
    <n v="0"/>
    <n v="0"/>
    <n v="0"/>
    <n v="0"/>
    <n v="0"/>
    <n v="0"/>
    <n v="0"/>
    <n v="0"/>
  </r>
  <r>
    <s v="2_1_HR"/>
    <x v="5"/>
    <x v="3"/>
    <m/>
    <m/>
    <m/>
    <m/>
    <m/>
    <s v="b4"/>
    <s v="b4"/>
    <m/>
    <m/>
    <b v="0"/>
    <m/>
    <n v="2"/>
    <n v="2"/>
    <x v="7"/>
    <n v="2"/>
    <n v="2"/>
    <n v="0"/>
    <n v="2"/>
    <x v="1"/>
    <x v="31"/>
    <s v="Y"/>
    <s v="Y"/>
    <m/>
    <m/>
    <m/>
    <m/>
    <m/>
    <m/>
    <m/>
    <m/>
    <m/>
    <m/>
    <n v="1"/>
    <n v="0"/>
    <n v="1"/>
    <n v="0"/>
    <n v="1"/>
    <n v="0"/>
    <n v="0"/>
    <n v="0"/>
    <n v="0"/>
  </r>
  <r>
    <s v="2_2_HR"/>
    <x v="5"/>
    <x v="0"/>
    <s v="b4"/>
    <m/>
    <m/>
    <m/>
    <m/>
    <s v="b4"/>
    <m/>
    <s v="b4"/>
    <m/>
    <b v="0"/>
    <m/>
    <n v="2"/>
    <n v="2"/>
    <x v="7"/>
    <n v="2"/>
    <n v="2"/>
    <n v="0"/>
    <n v="2"/>
    <x v="2"/>
    <x v="31"/>
    <s v="Y"/>
    <s v="Y"/>
    <m/>
    <m/>
    <m/>
    <m/>
    <m/>
    <m/>
    <m/>
    <m/>
    <m/>
    <m/>
    <n v="10"/>
    <n v="0"/>
    <n v="2"/>
    <n v="0"/>
    <n v="2"/>
    <n v="0"/>
    <n v="0"/>
    <n v="0"/>
    <n v="0"/>
  </r>
  <r>
    <s v="2_3_HR"/>
    <x v="5"/>
    <x v="0"/>
    <m/>
    <s v="b4"/>
    <m/>
    <m/>
    <m/>
    <s v="b4"/>
    <m/>
    <m/>
    <s v="b4"/>
    <b v="0"/>
    <m/>
    <n v="2"/>
    <n v="2"/>
    <x v="7"/>
    <n v="2"/>
    <n v="2"/>
    <n v="0"/>
    <n v="2"/>
    <x v="3"/>
    <x v="31"/>
    <s v="Y"/>
    <s v="Y"/>
    <m/>
    <m/>
    <m/>
    <m/>
    <m/>
    <m/>
    <m/>
    <m/>
    <m/>
    <m/>
    <n v="100"/>
    <n v="0"/>
    <n v="3"/>
    <n v="0"/>
    <n v="3"/>
    <n v="0"/>
    <n v="0"/>
    <n v="0"/>
    <n v="0"/>
  </r>
  <r>
    <s v="2_4_HR"/>
    <x v="5"/>
    <x v="3"/>
    <s v="b4"/>
    <m/>
    <m/>
    <m/>
    <m/>
    <s v="b4"/>
    <s v="b4"/>
    <s v="b4"/>
    <m/>
    <b v="0"/>
    <m/>
    <n v="3"/>
    <n v="2"/>
    <x v="7"/>
    <n v="3"/>
    <n v="2"/>
    <n v="0"/>
    <n v="2"/>
    <x v="4"/>
    <x v="31"/>
    <s v="Y"/>
    <s v="Y"/>
    <m/>
    <m/>
    <m/>
    <m/>
    <m/>
    <m/>
    <m/>
    <m/>
    <m/>
    <m/>
    <n v="11"/>
    <n v="0"/>
    <n v="4"/>
    <n v="0"/>
    <n v="4"/>
    <n v="0"/>
    <n v="0"/>
    <n v="0"/>
    <n v="0"/>
  </r>
  <r>
    <s v="2_5_HR"/>
    <x v="5"/>
    <x v="3"/>
    <m/>
    <s v="b4"/>
    <m/>
    <m/>
    <m/>
    <s v="b4"/>
    <s v="b4"/>
    <m/>
    <s v="b4"/>
    <b v="0"/>
    <m/>
    <n v="3"/>
    <n v="2"/>
    <x v="7"/>
    <n v="3"/>
    <n v="2"/>
    <n v="0"/>
    <n v="2"/>
    <x v="5"/>
    <x v="31"/>
    <s v="Y"/>
    <s v="Y"/>
    <m/>
    <m/>
    <m/>
    <m/>
    <m/>
    <m/>
    <m/>
    <m/>
    <m/>
    <m/>
    <n v="101"/>
    <n v="0"/>
    <n v="5"/>
    <n v="0"/>
    <n v="5"/>
    <n v="0"/>
    <n v="0"/>
    <n v="0"/>
    <n v="0"/>
  </r>
  <r>
    <s v="2_6_HR"/>
    <x v="5"/>
    <x v="0"/>
    <s v="b4"/>
    <s v="b4"/>
    <m/>
    <m/>
    <m/>
    <s v="b4"/>
    <m/>
    <s v="b4"/>
    <s v="b4"/>
    <b v="0"/>
    <m/>
    <n v="3"/>
    <n v="2"/>
    <x v="7"/>
    <n v="3"/>
    <n v="2"/>
    <n v="0"/>
    <n v="2"/>
    <x v="6"/>
    <x v="31"/>
    <s v="Y"/>
    <s v="Y"/>
    <m/>
    <m/>
    <m/>
    <m/>
    <m/>
    <m/>
    <m/>
    <m/>
    <m/>
    <m/>
    <n v="110"/>
    <n v="0"/>
    <n v="6"/>
    <n v="0"/>
    <n v="6"/>
    <n v="0"/>
    <n v="0"/>
    <n v="0"/>
    <n v="0"/>
  </r>
  <r>
    <s v="2_7_HR"/>
    <x v="5"/>
    <x v="3"/>
    <s v="b4"/>
    <s v="b4"/>
    <m/>
    <m/>
    <m/>
    <s v="b4"/>
    <s v="b4"/>
    <s v="b4"/>
    <s v="b4"/>
    <b v="0"/>
    <m/>
    <n v="4"/>
    <n v="2"/>
    <x v="7"/>
    <n v="4"/>
    <n v="2"/>
    <n v="0"/>
    <n v="2"/>
    <x v="7"/>
    <x v="31"/>
    <s v="Y"/>
    <s v="Y"/>
    <m/>
    <m/>
    <m/>
    <m/>
    <m/>
    <m/>
    <m/>
    <m/>
    <m/>
    <m/>
    <n v="111"/>
    <n v="0"/>
    <n v="7"/>
    <n v="0"/>
    <n v="7"/>
    <n v="0"/>
    <n v="0"/>
    <n v="0"/>
    <n v="0"/>
  </r>
  <r>
    <s v="0_0_IBB"/>
    <x v="0"/>
    <x v="0"/>
    <m/>
    <m/>
    <s v="B"/>
    <m/>
    <m/>
    <s v="b1"/>
    <m/>
    <m/>
    <m/>
    <b v="0"/>
    <m/>
    <n v="0"/>
    <n v="0"/>
    <x v="0"/>
    <n v="0"/>
    <n v="0"/>
    <n v="0"/>
    <n v="0"/>
    <x v="0"/>
    <x v="32"/>
    <s v="N"/>
    <s v="N"/>
    <m/>
    <m/>
    <m/>
    <m/>
    <m/>
    <m/>
    <m/>
    <m/>
    <m/>
    <m/>
    <n v="0"/>
    <n v="1"/>
    <n v="0"/>
    <n v="1"/>
    <n v="0"/>
    <n v="1"/>
    <n v="0"/>
    <n v="0"/>
    <n v="0"/>
  </r>
  <r>
    <s v="0_1_IBB"/>
    <x v="0"/>
    <x v="1"/>
    <m/>
    <m/>
    <s v="B"/>
    <s v="r1"/>
    <m/>
    <s v="b1"/>
    <s v="b2"/>
    <m/>
    <m/>
    <b v="0"/>
    <m/>
    <n v="0"/>
    <n v="0"/>
    <x v="1"/>
    <n v="0"/>
    <n v="0"/>
    <n v="0"/>
    <n v="0"/>
    <x v="1"/>
    <x v="32"/>
    <s v="N"/>
    <s v="N"/>
    <m/>
    <m/>
    <m/>
    <m/>
    <m/>
    <m/>
    <m/>
    <m/>
    <m/>
    <m/>
    <n v="1"/>
    <n v="11"/>
    <n v="1"/>
    <n v="4"/>
    <n v="1"/>
    <n v="4"/>
    <n v="0"/>
    <n v="0"/>
    <n v="0"/>
  </r>
  <r>
    <s v="0_2_IBB"/>
    <x v="0"/>
    <x v="0"/>
    <s v="b2"/>
    <m/>
    <s v="B"/>
    <s v="r2"/>
    <m/>
    <s v="b1"/>
    <m/>
    <s v="b2"/>
    <m/>
    <b v="0"/>
    <m/>
    <n v="0"/>
    <n v="0"/>
    <x v="1"/>
    <n v="0"/>
    <n v="0"/>
    <n v="0"/>
    <n v="0"/>
    <x v="2"/>
    <x v="32"/>
    <s v="N"/>
    <s v="N"/>
    <m/>
    <m/>
    <m/>
    <m/>
    <m/>
    <m/>
    <m/>
    <m/>
    <m/>
    <m/>
    <n v="10"/>
    <n v="11"/>
    <n v="2"/>
    <n v="4"/>
    <n v="2"/>
    <n v="4"/>
    <n v="0"/>
    <n v="0"/>
    <n v="0"/>
  </r>
  <r>
    <s v="0_3_IBB"/>
    <x v="0"/>
    <x v="0"/>
    <m/>
    <s v="b3"/>
    <s v="B"/>
    <m/>
    <s v="r3"/>
    <s v="b1"/>
    <m/>
    <m/>
    <s v="b3"/>
    <b v="0"/>
    <m/>
    <n v="0"/>
    <n v="0"/>
    <x v="2"/>
    <n v="0"/>
    <n v="0"/>
    <n v="0"/>
    <n v="0"/>
    <x v="3"/>
    <x v="32"/>
    <s v="N"/>
    <s v="N"/>
    <m/>
    <m/>
    <m/>
    <m/>
    <m/>
    <m/>
    <m/>
    <m/>
    <m/>
    <m/>
    <n v="100"/>
    <n v="101"/>
    <n v="3"/>
    <n v="5"/>
    <n v="3"/>
    <n v="5"/>
    <n v="0"/>
    <n v="0"/>
    <n v="0"/>
  </r>
  <r>
    <s v="0_4_IBB"/>
    <x v="0"/>
    <x v="1"/>
    <s v="b3"/>
    <m/>
    <s v="B"/>
    <s v="r1"/>
    <s v="r2"/>
    <s v="b1"/>
    <s v="b2"/>
    <s v="b3"/>
    <m/>
    <b v="0"/>
    <m/>
    <n v="0"/>
    <n v="0"/>
    <x v="3"/>
    <n v="0"/>
    <n v="0"/>
    <n v="0"/>
    <n v="0"/>
    <x v="4"/>
    <x v="32"/>
    <s v="N"/>
    <s v="N"/>
    <m/>
    <m/>
    <m/>
    <m/>
    <m/>
    <m/>
    <m/>
    <m/>
    <m/>
    <m/>
    <n v="11"/>
    <n v="111"/>
    <n v="4"/>
    <n v="7"/>
    <n v="4"/>
    <n v="7"/>
    <n v="0"/>
    <n v="0"/>
    <n v="0"/>
  </r>
  <r>
    <s v="0_5_IBB"/>
    <x v="0"/>
    <x v="1"/>
    <m/>
    <s v="b3"/>
    <s v="B"/>
    <s v="r1"/>
    <s v="r3"/>
    <s v="b1"/>
    <s v="b2"/>
    <m/>
    <s v="b3"/>
    <b v="0"/>
    <m/>
    <n v="0"/>
    <n v="0"/>
    <x v="3"/>
    <n v="0"/>
    <n v="0"/>
    <n v="0"/>
    <n v="0"/>
    <x v="5"/>
    <x v="32"/>
    <s v="N"/>
    <s v="N"/>
    <m/>
    <m/>
    <m/>
    <m/>
    <m/>
    <m/>
    <m/>
    <m/>
    <m/>
    <m/>
    <n v="101"/>
    <n v="111"/>
    <n v="5"/>
    <n v="7"/>
    <n v="5"/>
    <n v="7"/>
    <n v="0"/>
    <n v="0"/>
    <n v="0"/>
  </r>
  <r>
    <s v="0_6_IBB"/>
    <x v="0"/>
    <x v="0"/>
    <s v="b2"/>
    <s v="b3"/>
    <s v="B"/>
    <s v="r2"/>
    <s v="r3"/>
    <s v="b1"/>
    <m/>
    <s v="b2"/>
    <s v="b3"/>
    <b v="0"/>
    <m/>
    <n v="0"/>
    <n v="0"/>
    <x v="3"/>
    <n v="0"/>
    <n v="0"/>
    <n v="0"/>
    <n v="0"/>
    <x v="6"/>
    <x v="32"/>
    <s v="N"/>
    <s v="N"/>
    <m/>
    <m/>
    <m/>
    <m/>
    <m/>
    <m/>
    <m/>
    <m/>
    <m/>
    <m/>
    <n v="110"/>
    <n v="111"/>
    <n v="6"/>
    <n v="7"/>
    <n v="6"/>
    <n v="7"/>
    <n v="0"/>
    <n v="0"/>
    <n v="0"/>
  </r>
  <r>
    <s v="0_7_IBB"/>
    <x v="0"/>
    <x v="1"/>
    <s v="b3"/>
    <s v="b4"/>
    <s v="B"/>
    <s v="r1"/>
    <s v="r2"/>
    <s v="b1"/>
    <s v="b2"/>
    <s v="b3"/>
    <s v="b4"/>
    <b v="0"/>
    <m/>
    <n v="1"/>
    <n v="0"/>
    <x v="3"/>
    <n v="1"/>
    <n v="0"/>
    <n v="0"/>
    <n v="0"/>
    <x v="7"/>
    <x v="32"/>
    <s v="N"/>
    <s v="N"/>
    <m/>
    <m/>
    <m/>
    <m/>
    <m/>
    <m/>
    <m/>
    <m/>
    <m/>
    <m/>
    <n v="111"/>
    <n v="111"/>
    <n v="7"/>
    <n v="7"/>
    <n v="7"/>
    <n v="7"/>
    <n v="0"/>
    <n v="0"/>
    <n v="0"/>
  </r>
  <r>
    <s v="1_0_IBB"/>
    <x v="0"/>
    <x v="0"/>
    <m/>
    <m/>
    <s v="B"/>
    <m/>
    <m/>
    <s v="b1"/>
    <m/>
    <m/>
    <m/>
    <b v="0"/>
    <m/>
    <n v="0"/>
    <n v="1"/>
    <x v="0"/>
    <n v="0"/>
    <n v="1"/>
    <n v="0"/>
    <n v="1"/>
    <x v="0"/>
    <x v="32"/>
    <s v="N"/>
    <s v="N"/>
    <m/>
    <m/>
    <m/>
    <m/>
    <m/>
    <m/>
    <m/>
    <m/>
    <m/>
    <m/>
    <n v="0"/>
    <n v="1"/>
    <n v="0"/>
    <n v="1"/>
    <n v="0"/>
    <n v="1"/>
    <n v="0"/>
    <n v="0"/>
    <n v="0"/>
  </r>
  <r>
    <s v="1_1_IBB"/>
    <x v="0"/>
    <x v="1"/>
    <m/>
    <m/>
    <s v="B"/>
    <s v="r1"/>
    <m/>
    <s v="b1"/>
    <s v="b2"/>
    <m/>
    <m/>
    <b v="0"/>
    <m/>
    <n v="0"/>
    <n v="1"/>
    <x v="1"/>
    <n v="0"/>
    <n v="1"/>
    <n v="0"/>
    <n v="1"/>
    <x v="1"/>
    <x v="32"/>
    <s v="N"/>
    <s v="N"/>
    <m/>
    <m/>
    <m/>
    <m/>
    <m/>
    <m/>
    <m/>
    <m/>
    <m/>
    <m/>
    <n v="1"/>
    <n v="11"/>
    <n v="1"/>
    <n v="4"/>
    <n v="1"/>
    <n v="4"/>
    <n v="0"/>
    <n v="0"/>
    <n v="0"/>
  </r>
  <r>
    <s v="1_2_IBB"/>
    <x v="0"/>
    <x v="0"/>
    <s v="b2"/>
    <m/>
    <s v="B"/>
    <s v="r2"/>
    <m/>
    <s v="b1"/>
    <m/>
    <s v="b2"/>
    <m/>
    <b v="0"/>
    <m/>
    <n v="0"/>
    <n v="1"/>
    <x v="1"/>
    <n v="0"/>
    <n v="1"/>
    <n v="0"/>
    <n v="1"/>
    <x v="2"/>
    <x v="32"/>
    <s v="N"/>
    <s v="N"/>
    <m/>
    <m/>
    <m/>
    <m/>
    <m/>
    <m/>
    <m/>
    <m/>
    <m/>
    <m/>
    <n v="10"/>
    <n v="11"/>
    <n v="2"/>
    <n v="4"/>
    <n v="2"/>
    <n v="4"/>
    <n v="0"/>
    <n v="0"/>
    <n v="0"/>
  </r>
  <r>
    <s v="1_3_IBB"/>
    <x v="0"/>
    <x v="0"/>
    <m/>
    <s v="b3"/>
    <s v="B"/>
    <m/>
    <s v="r3"/>
    <s v="b1"/>
    <m/>
    <m/>
    <s v="b3"/>
    <b v="0"/>
    <m/>
    <n v="0"/>
    <n v="1"/>
    <x v="2"/>
    <n v="0"/>
    <n v="1"/>
    <n v="0"/>
    <n v="1"/>
    <x v="3"/>
    <x v="32"/>
    <s v="N"/>
    <s v="N"/>
    <m/>
    <m/>
    <m/>
    <m/>
    <m/>
    <m/>
    <m/>
    <m/>
    <m/>
    <m/>
    <n v="100"/>
    <n v="101"/>
    <n v="3"/>
    <n v="5"/>
    <n v="3"/>
    <n v="5"/>
    <n v="0"/>
    <n v="0"/>
    <n v="0"/>
  </r>
  <r>
    <s v="1_4_IBB"/>
    <x v="0"/>
    <x v="1"/>
    <s v="b3"/>
    <m/>
    <s v="B"/>
    <s v="r1"/>
    <s v="r2"/>
    <s v="b1"/>
    <s v="b2"/>
    <s v="b3"/>
    <m/>
    <b v="0"/>
    <m/>
    <n v="0"/>
    <n v="1"/>
    <x v="3"/>
    <n v="0"/>
    <n v="1"/>
    <n v="0"/>
    <n v="1"/>
    <x v="4"/>
    <x v="32"/>
    <s v="N"/>
    <s v="N"/>
    <m/>
    <m/>
    <m/>
    <m/>
    <m/>
    <m/>
    <m/>
    <m/>
    <m/>
    <m/>
    <n v="11"/>
    <n v="111"/>
    <n v="4"/>
    <n v="7"/>
    <n v="4"/>
    <n v="7"/>
    <n v="0"/>
    <n v="0"/>
    <n v="0"/>
  </r>
  <r>
    <s v="1_5_IBB"/>
    <x v="0"/>
    <x v="1"/>
    <m/>
    <s v="b3"/>
    <s v="B"/>
    <s v="r1"/>
    <s v="r3"/>
    <s v="b1"/>
    <s v="b2"/>
    <m/>
    <s v="b3"/>
    <b v="0"/>
    <m/>
    <n v="0"/>
    <n v="1"/>
    <x v="3"/>
    <n v="0"/>
    <n v="1"/>
    <n v="0"/>
    <n v="1"/>
    <x v="5"/>
    <x v="32"/>
    <s v="N"/>
    <s v="N"/>
    <m/>
    <m/>
    <m/>
    <m/>
    <m/>
    <m/>
    <m/>
    <m/>
    <m/>
    <m/>
    <n v="101"/>
    <n v="111"/>
    <n v="5"/>
    <n v="7"/>
    <n v="5"/>
    <n v="7"/>
    <n v="0"/>
    <n v="0"/>
    <n v="0"/>
  </r>
  <r>
    <s v="1_6_IBB"/>
    <x v="0"/>
    <x v="0"/>
    <s v="b2"/>
    <s v="b3"/>
    <s v="B"/>
    <s v="r2"/>
    <s v="r3"/>
    <s v="b1"/>
    <m/>
    <s v="b2"/>
    <s v="b3"/>
    <b v="0"/>
    <m/>
    <n v="0"/>
    <n v="1"/>
    <x v="3"/>
    <n v="0"/>
    <n v="1"/>
    <n v="0"/>
    <n v="1"/>
    <x v="6"/>
    <x v="32"/>
    <s v="N"/>
    <s v="N"/>
    <m/>
    <m/>
    <m/>
    <m/>
    <m/>
    <m/>
    <m/>
    <m/>
    <m/>
    <m/>
    <n v="110"/>
    <n v="111"/>
    <n v="6"/>
    <n v="7"/>
    <n v="6"/>
    <n v="7"/>
    <n v="0"/>
    <n v="0"/>
    <n v="0"/>
  </r>
  <r>
    <s v="1_7_IBB"/>
    <x v="0"/>
    <x v="1"/>
    <s v="b3"/>
    <s v="b4"/>
    <s v="B"/>
    <s v="r1"/>
    <s v="r2"/>
    <s v="b1"/>
    <s v="b2"/>
    <s v="b3"/>
    <s v="b4"/>
    <b v="0"/>
    <m/>
    <n v="1"/>
    <n v="1"/>
    <x v="3"/>
    <n v="1"/>
    <n v="1"/>
    <n v="0"/>
    <n v="1"/>
    <x v="7"/>
    <x v="32"/>
    <s v="N"/>
    <s v="N"/>
    <m/>
    <m/>
    <m/>
    <m/>
    <m/>
    <m/>
    <m/>
    <m/>
    <m/>
    <m/>
    <n v="111"/>
    <n v="111"/>
    <n v="7"/>
    <n v="7"/>
    <n v="7"/>
    <n v="7"/>
    <n v="0"/>
    <n v="0"/>
    <n v="0"/>
  </r>
  <r>
    <s v="2_0_IBB"/>
    <x v="0"/>
    <x v="0"/>
    <m/>
    <m/>
    <s v="B"/>
    <m/>
    <m/>
    <s v="b1"/>
    <m/>
    <m/>
    <m/>
    <b v="0"/>
    <m/>
    <n v="0"/>
    <n v="2"/>
    <x v="0"/>
    <n v="0"/>
    <n v="2"/>
    <n v="0"/>
    <n v="2"/>
    <x v="0"/>
    <x v="32"/>
    <s v="N"/>
    <s v="N"/>
    <m/>
    <m/>
    <m/>
    <m/>
    <m/>
    <m/>
    <m/>
    <m/>
    <m/>
    <m/>
    <n v="0"/>
    <n v="1"/>
    <n v="0"/>
    <n v="1"/>
    <n v="0"/>
    <n v="1"/>
    <n v="0"/>
    <n v="0"/>
    <n v="0"/>
  </r>
  <r>
    <s v="2_1_IBB"/>
    <x v="0"/>
    <x v="1"/>
    <m/>
    <m/>
    <s v="B"/>
    <s v="r1"/>
    <m/>
    <s v="b1"/>
    <s v="b2"/>
    <m/>
    <m/>
    <b v="0"/>
    <m/>
    <n v="0"/>
    <n v="2"/>
    <x v="1"/>
    <n v="0"/>
    <n v="2"/>
    <n v="0"/>
    <n v="2"/>
    <x v="1"/>
    <x v="32"/>
    <s v="N"/>
    <s v="N"/>
    <m/>
    <m/>
    <m/>
    <m/>
    <m/>
    <m/>
    <m/>
    <m/>
    <m/>
    <m/>
    <n v="1"/>
    <n v="11"/>
    <n v="1"/>
    <n v="4"/>
    <n v="1"/>
    <n v="4"/>
    <n v="0"/>
    <n v="0"/>
    <n v="0"/>
  </r>
  <r>
    <s v="2_2_IBB"/>
    <x v="0"/>
    <x v="0"/>
    <s v="b2"/>
    <m/>
    <s v="B"/>
    <s v="r2"/>
    <m/>
    <s v="b1"/>
    <m/>
    <s v="b2"/>
    <m/>
    <b v="0"/>
    <m/>
    <n v="0"/>
    <n v="2"/>
    <x v="1"/>
    <n v="0"/>
    <n v="2"/>
    <n v="0"/>
    <n v="2"/>
    <x v="2"/>
    <x v="32"/>
    <s v="N"/>
    <s v="N"/>
    <m/>
    <m/>
    <m/>
    <m/>
    <m/>
    <m/>
    <m/>
    <m/>
    <m/>
    <m/>
    <n v="10"/>
    <n v="11"/>
    <n v="2"/>
    <n v="4"/>
    <n v="2"/>
    <n v="4"/>
    <n v="0"/>
    <n v="0"/>
    <n v="0"/>
  </r>
  <r>
    <s v="2_3_IBB"/>
    <x v="0"/>
    <x v="0"/>
    <m/>
    <s v="b3"/>
    <s v="B"/>
    <m/>
    <s v="r3"/>
    <s v="b1"/>
    <m/>
    <m/>
    <s v="b3"/>
    <b v="0"/>
    <m/>
    <n v="0"/>
    <n v="2"/>
    <x v="2"/>
    <n v="0"/>
    <n v="2"/>
    <n v="0"/>
    <n v="2"/>
    <x v="3"/>
    <x v="32"/>
    <s v="N"/>
    <s v="N"/>
    <m/>
    <m/>
    <m/>
    <m/>
    <m/>
    <m/>
    <m/>
    <m/>
    <m/>
    <m/>
    <n v="100"/>
    <n v="101"/>
    <n v="3"/>
    <n v="5"/>
    <n v="3"/>
    <n v="5"/>
    <n v="0"/>
    <n v="0"/>
    <n v="0"/>
  </r>
  <r>
    <s v="2_4_IBB"/>
    <x v="0"/>
    <x v="1"/>
    <s v="b3"/>
    <m/>
    <s v="B"/>
    <s v="r1"/>
    <s v="r2"/>
    <s v="b1"/>
    <s v="b2"/>
    <s v="b3"/>
    <m/>
    <b v="0"/>
    <m/>
    <n v="0"/>
    <n v="2"/>
    <x v="3"/>
    <n v="0"/>
    <n v="2"/>
    <n v="0"/>
    <n v="2"/>
    <x v="4"/>
    <x v="32"/>
    <s v="N"/>
    <s v="N"/>
    <m/>
    <m/>
    <m/>
    <m/>
    <m/>
    <m/>
    <m/>
    <m/>
    <m/>
    <m/>
    <n v="11"/>
    <n v="111"/>
    <n v="4"/>
    <n v="7"/>
    <n v="4"/>
    <n v="7"/>
    <n v="0"/>
    <n v="0"/>
    <n v="0"/>
  </r>
  <r>
    <s v="2_5_IBB"/>
    <x v="0"/>
    <x v="1"/>
    <m/>
    <s v="b3"/>
    <s v="B"/>
    <s v="r1"/>
    <s v="r3"/>
    <s v="b1"/>
    <s v="b2"/>
    <m/>
    <s v="b3"/>
    <b v="0"/>
    <m/>
    <n v="0"/>
    <n v="2"/>
    <x v="3"/>
    <n v="0"/>
    <n v="2"/>
    <n v="0"/>
    <n v="2"/>
    <x v="5"/>
    <x v="32"/>
    <s v="N"/>
    <s v="N"/>
    <m/>
    <m/>
    <m/>
    <m/>
    <m/>
    <m/>
    <m/>
    <m/>
    <m/>
    <m/>
    <n v="101"/>
    <n v="111"/>
    <n v="5"/>
    <n v="7"/>
    <n v="5"/>
    <n v="7"/>
    <n v="0"/>
    <n v="0"/>
    <n v="0"/>
  </r>
  <r>
    <s v="2_6_IBB"/>
    <x v="0"/>
    <x v="0"/>
    <s v="b2"/>
    <s v="b3"/>
    <s v="B"/>
    <s v="r2"/>
    <s v="r3"/>
    <s v="b1"/>
    <m/>
    <s v="b2"/>
    <s v="b3"/>
    <b v="0"/>
    <m/>
    <n v="0"/>
    <n v="2"/>
    <x v="3"/>
    <n v="0"/>
    <n v="2"/>
    <n v="0"/>
    <n v="2"/>
    <x v="6"/>
    <x v="32"/>
    <s v="N"/>
    <s v="N"/>
    <m/>
    <m/>
    <m/>
    <m/>
    <m/>
    <m/>
    <m/>
    <m/>
    <m/>
    <m/>
    <n v="110"/>
    <n v="111"/>
    <n v="6"/>
    <n v="7"/>
    <n v="6"/>
    <n v="7"/>
    <n v="0"/>
    <n v="0"/>
    <n v="0"/>
  </r>
  <r>
    <s v="2_7_IBB"/>
    <x v="0"/>
    <x v="1"/>
    <s v="b3"/>
    <s v="b4"/>
    <s v="B"/>
    <s v="r1"/>
    <s v="r2"/>
    <s v="b1"/>
    <s v="b2"/>
    <s v="b3"/>
    <s v="b4"/>
    <b v="0"/>
    <m/>
    <n v="1"/>
    <n v="2"/>
    <x v="3"/>
    <n v="1"/>
    <n v="2"/>
    <n v="0"/>
    <n v="2"/>
    <x v="7"/>
    <x v="32"/>
    <s v="N"/>
    <s v="N"/>
    <m/>
    <m/>
    <m/>
    <m/>
    <m/>
    <m/>
    <m/>
    <m/>
    <m/>
    <m/>
    <n v="111"/>
    <n v="111"/>
    <n v="7"/>
    <n v="7"/>
    <n v="7"/>
    <n v="7"/>
    <n v="0"/>
    <n v="0"/>
    <n v="0"/>
  </r>
  <r>
    <s v="0_0_IF1B"/>
    <x v="0"/>
    <x v="0"/>
    <m/>
    <m/>
    <s v="B"/>
    <m/>
    <m/>
    <s v="b1"/>
    <m/>
    <m/>
    <m/>
    <b v="0"/>
    <m/>
    <n v="0"/>
    <n v="0"/>
    <x v="0"/>
    <n v="0"/>
    <n v="0"/>
    <n v="0"/>
    <n v="0"/>
    <x v="0"/>
    <x v="33"/>
    <s v="Y"/>
    <s v="Y"/>
    <m/>
    <m/>
    <m/>
    <m/>
    <m/>
    <m/>
    <m/>
    <m/>
    <m/>
    <m/>
    <n v="0"/>
    <n v="1"/>
    <n v="0"/>
    <n v="1"/>
    <n v="0"/>
    <n v="1"/>
    <n v="0"/>
    <n v="0"/>
    <n v="0"/>
  </r>
  <r>
    <s v="0_1_IF1B"/>
    <x v="0"/>
    <x v="1"/>
    <m/>
    <m/>
    <s v="B"/>
    <s v="r1"/>
    <m/>
    <s v="b1"/>
    <s v="b2"/>
    <m/>
    <m/>
    <b v="0"/>
    <m/>
    <n v="0"/>
    <n v="0"/>
    <x v="1"/>
    <n v="0"/>
    <n v="0"/>
    <n v="0"/>
    <n v="0"/>
    <x v="1"/>
    <x v="33"/>
    <s v="Y"/>
    <s v="Y"/>
    <m/>
    <m/>
    <m/>
    <m/>
    <m/>
    <m/>
    <m/>
    <m/>
    <m/>
    <m/>
    <n v="1"/>
    <n v="11"/>
    <n v="1"/>
    <n v="4"/>
    <n v="1"/>
    <n v="4"/>
    <n v="0"/>
    <n v="0"/>
    <n v="0"/>
  </r>
  <r>
    <s v="0_2_IF1B"/>
    <x v="0"/>
    <x v="0"/>
    <s v="b2"/>
    <m/>
    <s v="B"/>
    <s v="r2"/>
    <m/>
    <s v="b1"/>
    <m/>
    <s v="b2"/>
    <m/>
    <b v="0"/>
    <m/>
    <n v="0"/>
    <n v="0"/>
    <x v="1"/>
    <n v="0"/>
    <n v="0"/>
    <n v="0"/>
    <n v="0"/>
    <x v="2"/>
    <x v="33"/>
    <s v="Y"/>
    <s v="Y"/>
    <m/>
    <m/>
    <m/>
    <m/>
    <m/>
    <m/>
    <m/>
    <m/>
    <m/>
    <m/>
    <n v="10"/>
    <n v="11"/>
    <n v="2"/>
    <n v="4"/>
    <n v="2"/>
    <n v="4"/>
    <n v="0"/>
    <n v="0"/>
    <n v="0"/>
  </r>
  <r>
    <s v="0_3_IF1B"/>
    <x v="0"/>
    <x v="0"/>
    <m/>
    <s v="b3"/>
    <s v="B"/>
    <m/>
    <s v="r3"/>
    <s v="b1"/>
    <m/>
    <m/>
    <s v="b3"/>
    <b v="0"/>
    <m/>
    <n v="0"/>
    <n v="0"/>
    <x v="2"/>
    <n v="0"/>
    <n v="0"/>
    <n v="0"/>
    <n v="0"/>
    <x v="3"/>
    <x v="33"/>
    <s v="Y"/>
    <s v="Y"/>
    <m/>
    <m/>
    <m/>
    <m/>
    <m/>
    <m/>
    <m/>
    <m/>
    <m/>
    <m/>
    <n v="100"/>
    <n v="101"/>
    <n v="3"/>
    <n v="5"/>
    <n v="3"/>
    <n v="5"/>
    <n v="0"/>
    <n v="0"/>
    <n v="0"/>
  </r>
  <r>
    <s v="0_4_IF1B"/>
    <x v="0"/>
    <x v="1"/>
    <s v="b3"/>
    <m/>
    <s v="B"/>
    <s v="r1"/>
    <s v="r2"/>
    <s v="b1"/>
    <s v="b2"/>
    <s v="b3"/>
    <m/>
    <b v="0"/>
    <m/>
    <n v="0"/>
    <n v="0"/>
    <x v="3"/>
    <n v="0"/>
    <n v="0"/>
    <n v="0"/>
    <n v="0"/>
    <x v="4"/>
    <x v="33"/>
    <s v="Y"/>
    <s v="Y"/>
    <m/>
    <m/>
    <m/>
    <m/>
    <m/>
    <m/>
    <m/>
    <m/>
    <m/>
    <m/>
    <n v="11"/>
    <n v="111"/>
    <n v="4"/>
    <n v="7"/>
    <n v="4"/>
    <n v="7"/>
    <n v="0"/>
    <n v="0"/>
    <n v="0"/>
  </r>
  <r>
    <s v="0_5_IF1B"/>
    <x v="0"/>
    <x v="1"/>
    <m/>
    <s v="b3"/>
    <s v="B"/>
    <s v="r1"/>
    <s v="r3"/>
    <s v="b1"/>
    <s v="b2"/>
    <m/>
    <s v="b3"/>
    <b v="0"/>
    <m/>
    <n v="0"/>
    <n v="0"/>
    <x v="3"/>
    <n v="0"/>
    <n v="0"/>
    <n v="0"/>
    <n v="0"/>
    <x v="5"/>
    <x v="33"/>
    <s v="Y"/>
    <s v="Y"/>
    <m/>
    <m/>
    <m/>
    <m/>
    <m/>
    <m/>
    <m/>
    <m/>
    <m/>
    <m/>
    <n v="101"/>
    <n v="111"/>
    <n v="5"/>
    <n v="7"/>
    <n v="5"/>
    <n v="7"/>
    <n v="0"/>
    <n v="0"/>
    <n v="0"/>
  </r>
  <r>
    <s v="0_6_IF1B"/>
    <x v="0"/>
    <x v="0"/>
    <s v="b2"/>
    <s v="b3"/>
    <s v="B"/>
    <s v="r2"/>
    <s v="r3"/>
    <s v="b1"/>
    <m/>
    <s v="b2"/>
    <s v="b3"/>
    <b v="0"/>
    <m/>
    <n v="0"/>
    <n v="0"/>
    <x v="3"/>
    <n v="0"/>
    <n v="0"/>
    <n v="0"/>
    <n v="0"/>
    <x v="6"/>
    <x v="33"/>
    <s v="Y"/>
    <s v="Y"/>
    <m/>
    <m/>
    <m/>
    <m/>
    <m/>
    <m/>
    <m/>
    <m/>
    <m/>
    <m/>
    <n v="110"/>
    <n v="111"/>
    <n v="6"/>
    <n v="7"/>
    <n v="6"/>
    <n v="7"/>
    <n v="0"/>
    <n v="0"/>
    <n v="0"/>
  </r>
  <r>
    <s v="1_0_IF1B"/>
    <x v="0"/>
    <x v="0"/>
    <m/>
    <m/>
    <s v="B"/>
    <m/>
    <m/>
    <s v="b1"/>
    <m/>
    <m/>
    <m/>
    <b v="0"/>
    <m/>
    <n v="0"/>
    <n v="1"/>
    <x v="0"/>
    <n v="0"/>
    <n v="1"/>
    <n v="0"/>
    <n v="1"/>
    <x v="0"/>
    <x v="33"/>
    <s v="Y"/>
    <s v="Y"/>
    <m/>
    <m/>
    <m/>
    <m/>
    <m/>
    <m/>
    <m/>
    <m/>
    <m/>
    <m/>
    <n v="0"/>
    <n v="1"/>
    <n v="0"/>
    <n v="1"/>
    <n v="0"/>
    <n v="1"/>
    <n v="0"/>
    <n v="0"/>
    <n v="0"/>
  </r>
  <r>
    <s v="1_1_IF1B"/>
    <x v="0"/>
    <x v="1"/>
    <m/>
    <m/>
    <s v="B"/>
    <s v="r1"/>
    <m/>
    <s v="b1"/>
    <s v="b2"/>
    <m/>
    <m/>
    <b v="0"/>
    <m/>
    <n v="0"/>
    <n v="1"/>
    <x v="1"/>
    <n v="0"/>
    <n v="1"/>
    <n v="0"/>
    <n v="1"/>
    <x v="1"/>
    <x v="33"/>
    <s v="Y"/>
    <s v="Y"/>
    <m/>
    <m/>
    <m/>
    <m/>
    <m/>
    <m/>
    <m/>
    <m/>
    <m/>
    <m/>
    <n v="1"/>
    <n v="11"/>
    <n v="1"/>
    <n v="4"/>
    <n v="1"/>
    <n v="4"/>
    <n v="0"/>
    <n v="0"/>
    <n v="0"/>
  </r>
  <r>
    <s v="1_2_IF1B"/>
    <x v="0"/>
    <x v="0"/>
    <s v="b2"/>
    <m/>
    <s v="B"/>
    <s v="r2"/>
    <m/>
    <s v="b1"/>
    <m/>
    <s v="b2"/>
    <m/>
    <b v="0"/>
    <m/>
    <n v="0"/>
    <n v="1"/>
    <x v="1"/>
    <n v="0"/>
    <n v="1"/>
    <n v="0"/>
    <n v="1"/>
    <x v="2"/>
    <x v="33"/>
    <s v="Y"/>
    <s v="Y"/>
    <m/>
    <m/>
    <m/>
    <m/>
    <m/>
    <m/>
    <m/>
    <m/>
    <m/>
    <m/>
    <n v="10"/>
    <n v="11"/>
    <n v="2"/>
    <n v="4"/>
    <n v="2"/>
    <n v="4"/>
    <n v="0"/>
    <n v="0"/>
    <n v="0"/>
  </r>
  <r>
    <s v="1_3_IF1B"/>
    <x v="0"/>
    <x v="0"/>
    <m/>
    <s v="b3"/>
    <s v="B"/>
    <m/>
    <s v="r3"/>
    <s v="b1"/>
    <m/>
    <m/>
    <s v="b3"/>
    <b v="0"/>
    <m/>
    <n v="0"/>
    <n v="1"/>
    <x v="2"/>
    <n v="0"/>
    <n v="1"/>
    <n v="0"/>
    <n v="1"/>
    <x v="3"/>
    <x v="33"/>
    <s v="Y"/>
    <s v="Y"/>
    <m/>
    <m/>
    <m/>
    <m/>
    <m/>
    <m/>
    <m/>
    <m/>
    <m/>
    <m/>
    <n v="100"/>
    <n v="101"/>
    <n v="3"/>
    <n v="5"/>
    <n v="3"/>
    <n v="5"/>
    <n v="0"/>
    <n v="0"/>
    <n v="0"/>
  </r>
  <r>
    <s v="1_4_IF1B"/>
    <x v="0"/>
    <x v="1"/>
    <s v="b3"/>
    <m/>
    <s v="B"/>
    <s v="r1"/>
    <s v="r2"/>
    <s v="b1"/>
    <s v="b2"/>
    <s v="b3"/>
    <m/>
    <b v="0"/>
    <m/>
    <n v="0"/>
    <n v="1"/>
    <x v="3"/>
    <n v="0"/>
    <n v="1"/>
    <n v="0"/>
    <n v="1"/>
    <x v="4"/>
    <x v="33"/>
    <s v="Y"/>
    <s v="Y"/>
    <m/>
    <m/>
    <m/>
    <m/>
    <m/>
    <m/>
    <m/>
    <m/>
    <m/>
    <m/>
    <n v="11"/>
    <n v="111"/>
    <n v="4"/>
    <n v="7"/>
    <n v="4"/>
    <n v="7"/>
    <n v="0"/>
    <n v="0"/>
    <n v="0"/>
  </r>
  <r>
    <s v="1_5_IF1B"/>
    <x v="0"/>
    <x v="1"/>
    <m/>
    <s v="b3"/>
    <s v="B"/>
    <s v="r1"/>
    <s v="r3"/>
    <s v="b1"/>
    <s v="b2"/>
    <m/>
    <s v="b3"/>
    <b v="0"/>
    <m/>
    <n v="0"/>
    <n v="1"/>
    <x v="3"/>
    <n v="0"/>
    <n v="1"/>
    <n v="0"/>
    <n v="1"/>
    <x v="5"/>
    <x v="33"/>
    <s v="Y"/>
    <s v="Y"/>
    <m/>
    <m/>
    <m/>
    <m/>
    <m/>
    <m/>
    <m/>
    <m/>
    <m/>
    <m/>
    <n v="101"/>
    <n v="111"/>
    <n v="5"/>
    <n v="7"/>
    <n v="5"/>
    <n v="7"/>
    <n v="0"/>
    <n v="0"/>
    <n v="0"/>
  </r>
  <r>
    <s v="1_6_IF1B"/>
    <x v="0"/>
    <x v="0"/>
    <s v="b2"/>
    <s v="b3"/>
    <s v="B"/>
    <s v="r2"/>
    <s v="r3"/>
    <s v="b1"/>
    <m/>
    <s v="b2"/>
    <s v="b3"/>
    <b v="0"/>
    <m/>
    <n v="0"/>
    <n v="1"/>
    <x v="3"/>
    <n v="0"/>
    <n v="1"/>
    <n v="0"/>
    <n v="1"/>
    <x v="6"/>
    <x v="33"/>
    <s v="Y"/>
    <s v="Y"/>
    <m/>
    <m/>
    <m/>
    <m/>
    <m/>
    <m/>
    <m/>
    <m/>
    <m/>
    <m/>
    <n v="110"/>
    <n v="111"/>
    <n v="6"/>
    <n v="7"/>
    <n v="6"/>
    <n v="7"/>
    <n v="0"/>
    <n v="0"/>
    <n v="0"/>
  </r>
  <r>
    <s v="1_7_IF1B"/>
    <x v="0"/>
    <x v="1"/>
    <s v="b3"/>
    <s v="b4"/>
    <s v="B"/>
    <s v="r1"/>
    <s v="r2"/>
    <s v="b1"/>
    <s v="b2"/>
    <s v="b3"/>
    <s v="b4"/>
    <b v="0"/>
    <m/>
    <n v="1"/>
    <n v="1"/>
    <x v="3"/>
    <n v="1"/>
    <n v="1"/>
    <n v="0"/>
    <n v="1"/>
    <x v="7"/>
    <x v="33"/>
    <s v="Y"/>
    <s v="Y"/>
    <m/>
    <m/>
    <m/>
    <m/>
    <m/>
    <m/>
    <m/>
    <m/>
    <m/>
    <m/>
    <n v="111"/>
    <n v="111"/>
    <n v="7"/>
    <n v="7"/>
    <n v="7"/>
    <n v="7"/>
    <n v="0"/>
    <n v="0"/>
    <n v="0"/>
  </r>
  <r>
    <s v="2_0_IF1B"/>
    <x v="0"/>
    <x v="0"/>
    <m/>
    <m/>
    <s v="B"/>
    <m/>
    <m/>
    <s v="b1"/>
    <m/>
    <m/>
    <m/>
    <b v="0"/>
    <m/>
    <n v="0"/>
    <n v="2"/>
    <x v="0"/>
    <n v="0"/>
    <n v="2"/>
    <n v="0"/>
    <n v="2"/>
    <x v="0"/>
    <x v="33"/>
    <s v="Y"/>
    <s v="Y"/>
    <m/>
    <m/>
    <m/>
    <m/>
    <m/>
    <m/>
    <m/>
    <m/>
    <m/>
    <m/>
    <n v="0"/>
    <n v="1"/>
    <n v="0"/>
    <n v="1"/>
    <n v="0"/>
    <n v="1"/>
    <n v="0"/>
    <n v="0"/>
    <n v="0"/>
  </r>
  <r>
    <s v="2_1_IF1B"/>
    <x v="0"/>
    <x v="1"/>
    <m/>
    <m/>
    <s v="B"/>
    <s v="r1"/>
    <m/>
    <s v="b1"/>
    <s v="b2"/>
    <m/>
    <m/>
    <b v="0"/>
    <m/>
    <n v="0"/>
    <n v="2"/>
    <x v="1"/>
    <n v="0"/>
    <n v="2"/>
    <n v="0"/>
    <n v="2"/>
    <x v="1"/>
    <x v="33"/>
    <s v="Y"/>
    <s v="Y"/>
    <m/>
    <m/>
    <m/>
    <m/>
    <m/>
    <m/>
    <m/>
    <m/>
    <m/>
    <m/>
    <n v="1"/>
    <n v="11"/>
    <n v="1"/>
    <n v="4"/>
    <n v="1"/>
    <n v="4"/>
    <n v="0"/>
    <n v="0"/>
    <n v="0"/>
  </r>
  <r>
    <s v="2_2_IF1B"/>
    <x v="0"/>
    <x v="0"/>
    <s v="b3"/>
    <m/>
    <s v="B"/>
    <m/>
    <s v="r2"/>
    <s v="b1"/>
    <m/>
    <s v="b3"/>
    <m/>
    <b v="0"/>
    <m/>
    <n v="0"/>
    <n v="2"/>
    <x v="2"/>
    <n v="0"/>
    <n v="2"/>
    <n v="0"/>
    <n v="2"/>
    <x v="2"/>
    <x v="33"/>
    <s v="Y"/>
    <s v="Y"/>
    <m/>
    <m/>
    <m/>
    <m/>
    <m/>
    <m/>
    <m/>
    <m/>
    <m/>
    <m/>
    <n v="10"/>
    <n v="101"/>
    <n v="2"/>
    <n v="5"/>
    <n v="2"/>
    <n v="5"/>
    <n v="0"/>
    <n v="0"/>
    <n v="0"/>
  </r>
  <r>
    <s v="2_3_IF1B"/>
    <x v="0"/>
    <x v="0"/>
    <m/>
    <s v="b4"/>
    <s v="B"/>
    <m/>
    <m/>
    <s v="b1"/>
    <m/>
    <m/>
    <s v="b4"/>
    <b v="0"/>
    <m/>
    <n v="1"/>
    <n v="2"/>
    <x v="0"/>
    <n v="1"/>
    <n v="2"/>
    <n v="0"/>
    <n v="2"/>
    <x v="3"/>
    <x v="33"/>
    <s v="Y"/>
    <s v="Y"/>
    <m/>
    <m/>
    <m/>
    <m/>
    <m/>
    <m/>
    <m/>
    <m/>
    <m/>
    <m/>
    <n v="100"/>
    <n v="1"/>
    <n v="3"/>
    <n v="1"/>
    <n v="3"/>
    <n v="1"/>
    <n v="0"/>
    <n v="0"/>
    <n v="0"/>
  </r>
  <r>
    <s v="2_4_IF1B"/>
    <x v="0"/>
    <x v="1"/>
    <s v="b3"/>
    <m/>
    <s v="B"/>
    <s v="r1"/>
    <s v="r2"/>
    <s v="b1"/>
    <s v="b2"/>
    <s v="b3"/>
    <m/>
    <b v="0"/>
    <m/>
    <n v="0"/>
    <n v="2"/>
    <x v="3"/>
    <n v="0"/>
    <n v="2"/>
    <n v="0"/>
    <n v="2"/>
    <x v="4"/>
    <x v="33"/>
    <s v="Y"/>
    <s v="Y"/>
    <m/>
    <m/>
    <m/>
    <m/>
    <m/>
    <m/>
    <m/>
    <m/>
    <m/>
    <m/>
    <n v="11"/>
    <n v="111"/>
    <n v="4"/>
    <n v="7"/>
    <n v="4"/>
    <n v="7"/>
    <n v="0"/>
    <n v="0"/>
    <n v="0"/>
  </r>
  <r>
    <s v="2_5_IF1B"/>
    <x v="0"/>
    <x v="1"/>
    <m/>
    <s v="b4"/>
    <s v="B"/>
    <s v="r1"/>
    <m/>
    <s v="b1"/>
    <s v="b2"/>
    <m/>
    <s v="b4"/>
    <b v="0"/>
    <m/>
    <n v="1"/>
    <n v="2"/>
    <x v="1"/>
    <n v="1"/>
    <n v="2"/>
    <n v="0"/>
    <n v="2"/>
    <x v="5"/>
    <x v="33"/>
    <s v="Y"/>
    <s v="Y"/>
    <m/>
    <m/>
    <m/>
    <m/>
    <m/>
    <m/>
    <m/>
    <m/>
    <m/>
    <m/>
    <n v="101"/>
    <n v="11"/>
    <n v="5"/>
    <n v="4"/>
    <n v="5"/>
    <n v="4"/>
    <n v="0"/>
    <n v="0"/>
    <n v="0"/>
  </r>
  <r>
    <s v="2_6_IF1B"/>
    <x v="0"/>
    <x v="0"/>
    <s v="b3"/>
    <s v="b4"/>
    <s v="B"/>
    <m/>
    <s v="r2"/>
    <s v="b1"/>
    <m/>
    <s v="b3"/>
    <s v="b4"/>
    <b v="0"/>
    <m/>
    <n v="1"/>
    <n v="2"/>
    <x v="2"/>
    <n v="1"/>
    <n v="2"/>
    <n v="0"/>
    <n v="2"/>
    <x v="6"/>
    <x v="33"/>
    <s v="Y"/>
    <s v="Y"/>
    <m/>
    <m/>
    <m/>
    <m/>
    <m/>
    <m/>
    <m/>
    <m/>
    <m/>
    <m/>
    <n v="110"/>
    <n v="101"/>
    <n v="6"/>
    <n v="5"/>
    <n v="6"/>
    <n v="5"/>
    <n v="0"/>
    <n v="0"/>
    <n v="0"/>
  </r>
  <r>
    <s v="2_7_IF1B"/>
    <x v="0"/>
    <x v="1"/>
    <s v="b3"/>
    <s v="b4"/>
    <s v="B"/>
    <s v="r1"/>
    <s v="r2"/>
    <s v="b1"/>
    <s v="b2"/>
    <s v="b3"/>
    <s v="b4"/>
    <b v="0"/>
    <m/>
    <n v="1"/>
    <n v="2"/>
    <x v="3"/>
    <n v="1"/>
    <n v="2"/>
    <n v="0"/>
    <n v="2"/>
    <x v="7"/>
    <x v="33"/>
    <s v="Y"/>
    <s v="Y"/>
    <m/>
    <m/>
    <m/>
    <m/>
    <m/>
    <m/>
    <m/>
    <m/>
    <m/>
    <m/>
    <n v="111"/>
    <n v="111"/>
    <n v="7"/>
    <n v="7"/>
    <n v="7"/>
    <n v="7"/>
    <n v="0"/>
    <n v="0"/>
    <n v="0"/>
  </r>
  <r>
    <s v="0_0_K"/>
    <x v="4"/>
    <x v="0"/>
    <m/>
    <m/>
    <m/>
    <m/>
    <m/>
    <n v="0"/>
    <m/>
    <m/>
    <m/>
    <b v="0"/>
    <m/>
    <n v="0"/>
    <n v="1"/>
    <x v="7"/>
    <n v="0"/>
    <n v="0"/>
    <n v="1"/>
    <n v="1"/>
    <x v="0"/>
    <x v="34"/>
    <s v="Y"/>
    <s v="N"/>
    <m/>
    <m/>
    <m/>
    <m/>
    <m/>
    <m/>
    <m/>
    <m/>
    <m/>
    <m/>
    <n v="0"/>
    <n v="0"/>
    <n v="0"/>
    <n v="0"/>
    <n v="0"/>
    <n v="0"/>
    <n v="0"/>
    <n v="0"/>
    <n v="0"/>
  </r>
  <r>
    <s v="0_1_K"/>
    <x v="4"/>
    <x v="4"/>
    <m/>
    <m/>
    <s v="r1"/>
    <m/>
    <m/>
    <n v="0"/>
    <s v="b1"/>
    <m/>
    <m/>
    <b v="0"/>
    <m/>
    <n v="0"/>
    <n v="1"/>
    <x v="0"/>
    <n v="0"/>
    <n v="0"/>
    <n v="1"/>
    <n v="1"/>
    <x v="1"/>
    <x v="34"/>
    <s v="Y"/>
    <s v="N"/>
    <m/>
    <m/>
    <m/>
    <m/>
    <m/>
    <m/>
    <m/>
    <m/>
    <m/>
    <m/>
    <n v="1"/>
    <n v="1"/>
    <n v="1"/>
    <n v="1"/>
    <n v="1"/>
    <n v="1"/>
    <n v="0"/>
    <n v="0"/>
    <n v="0"/>
  </r>
  <r>
    <s v="0_2_K"/>
    <x v="4"/>
    <x v="0"/>
    <s v="b2"/>
    <m/>
    <m/>
    <s v="r2"/>
    <m/>
    <n v="0"/>
    <m/>
    <s v="b2"/>
    <m/>
    <b v="0"/>
    <m/>
    <n v="0"/>
    <n v="1"/>
    <x v="4"/>
    <n v="0"/>
    <n v="0"/>
    <n v="1"/>
    <n v="1"/>
    <x v="2"/>
    <x v="34"/>
    <s v="Y"/>
    <s v="N"/>
    <m/>
    <m/>
    <m/>
    <m/>
    <m/>
    <m/>
    <m/>
    <m/>
    <m/>
    <m/>
    <n v="10"/>
    <n v="10"/>
    <n v="2"/>
    <n v="2"/>
    <n v="2"/>
    <n v="2"/>
    <n v="0"/>
    <n v="0"/>
    <n v="0"/>
  </r>
  <r>
    <s v="0_3_K"/>
    <x v="4"/>
    <x v="0"/>
    <m/>
    <s v="b3"/>
    <m/>
    <m/>
    <s v="r3"/>
    <n v="0"/>
    <m/>
    <m/>
    <s v="b3"/>
    <b v="0"/>
    <m/>
    <n v="0"/>
    <n v="1"/>
    <x v="6"/>
    <n v="0"/>
    <n v="0"/>
    <n v="1"/>
    <n v="1"/>
    <x v="3"/>
    <x v="34"/>
    <s v="Y"/>
    <s v="N"/>
    <m/>
    <m/>
    <m/>
    <m/>
    <m/>
    <m/>
    <m/>
    <m/>
    <m/>
    <m/>
    <n v="100"/>
    <n v="100"/>
    <n v="3"/>
    <n v="3"/>
    <n v="3"/>
    <n v="3"/>
    <n v="0"/>
    <n v="0"/>
    <n v="0"/>
  </r>
  <r>
    <s v="0_4_K"/>
    <x v="4"/>
    <x v="4"/>
    <s v="b2"/>
    <m/>
    <s v="r1"/>
    <s v="r2"/>
    <m/>
    <n v="0"/>
    <s v="b1"/>
    <s v="b2"/>
    <m/>
    <b v="0"/>
    <m/>
    <n v="0"/>
    <n v="1"/>
    <x v="1"/>
    <n v="0"/>
    <n v="0"/>
    <n v="1"/>
    <n v="1"/>
    <x v="4"/>
    <x v="34"/>
    <s v="Y"/>
    <s v="N"/>
    <m/>
    <m/>
    <m/>
    <m/>
    <m/>
    <m/>
    <m/>
    <m/>
    <m/>
    <m/>
    <n v="11"/>
    <n v="11"/>
    <n v="4"/>
    <n v="4"/>
    <n v="4"/>
    <n v="4"/>
    <n v="0"/>
    <n v="0"/>
    <n v="0"/>
  </r>
  <r>
    <s v="0_5_K"/>
    <x v="4"/>
    <x v="4"/>
    <m/>
    <s v="b3"/>
    <s v="r1"/>
    <m/>
    <s v="r3"/>
    <n v="0"/>
    <s v="b1"/>
    <m/>
    <s v="b3"/>
    <b v="0"/>
    <m/>
    <n v="0"/>
    <n v="1"/>
    <x v="2"/>
    <n v="0"/>
    <n v="0"/>
    <n v="1"/>
    <n v="1"/>
    <x v="5"/>
    <x v="34"/>
    <s v="Y"/>
    <s v="N"/>
    <m/>
    <m/>
    <m/>
    <m/>
    <m/>
    <m/>
    <m/>
    <m/>
    <m/>
    <m/>
    <n v="101"/>
    <n v="101"/>
    <n v="5"/>
    <n v="5"/>
    <n v="5"/>
    <n v="5"/>
    <n v="0"/>
    <n v="0"/>
    <n v="0"/>
  </r>
  <r>
    <s v="0_6_K"/>
    <x v="4"/>
    <x v="0"/>
    <s v="b2"/>
    <s v="b3"/>
    <m/>
    <s v="r2"/>
    <s v="r3"/>
    <n v="0"/>
    <m/>
    <s v="b2"/>
    <s v="b3"/>
    <b v="0"/>
    <m/>
    <n v="0"/>
    <n v="1"/>
    <x v="5"/>
    <n v="0"/>
    <n v="0"/>
    <n v="1"/>
    <n v="1"/>
    <x v="6"/>
    <x v="34"/>
    <s v="Y"/>
    <s v="N"/>
    <m/>
    <m/>
    <m/>
    <m/>
    <m/>
    <m/>
    <m/>
    <m/>
    <m/>
    <m/>
    <n v="110"/>
    <n v="110"/>
    <n v="6"/>
    <n v="6"/>
    <n v="6"/>
    <n v="6"/>
    <n v="0"/>
    <n v="0"/>
    <n v="0"/>
  </r>
  <r>
    <s v="0_7_K"/>
    <x v="4"/>
    <x v="4"/>
    <s v="b2"/>
    <s v="b3"/>
    <s v="r1"/>
    <s v="r2"/>
    <s v="r3"/>
    <n v="0"/>
    <s v="b1"/>
    <s v="b2"/>
    <s v="b3"/>
    <b v="0"/>
    <m/>
    <n v="0"/>
    <n v="1"/>
    <x v="3"/>
    <n v="0"/>
    <n v="0"/>
    <n v="1"/>
    <n v="1"/>
    <x v="7"/>
    <x v="34"/>
    <s v="Y"/>
    <s v="N"/>
    <m/>
    <m/>
    <m/>
    <m/>
    <m/>
    <m/>
    <m/>
    <m/>
    <m/>
    <m/>
    <n v="111"/>
    <n v="111"/>
    <n v="7"/>
    <n v="7"/>
    <n v="7"/>
    <n v="7"/>
    <n v="0"/>
    <n v="0"/>
    <n v="0"/>
  </r>
  <r>
    <s v="1_0_K"/>
    <x v="4"/>
    <x v="0"/>
    <m/>
    <m/>
    <m/>
    <m/>
    <m/>
    <n v="0"/>
    <m/>
    <m/>
    <m/>
    <b v="0"/>
    <m/>
    <n v="0"/>
    <n v="2"/>
    <x v="7"/>
    <n v="0"/>
    <n v="1"/>
    <n v="1"/>
    <n v="2"/>
    <x v="0"/>
    <x v="34"/>
    <s v="Y"/>
    <s v="N"/>
    <m/>
    <m/>
    <m/>
    <m/>
    <m/>
    <m/>
    <m/>
    <m/>
    <m/>
    <m/>
    <n v="0"/>
    <n v="0"/>
    <n v="0"/>
    <n v="0"/>
    <n v="0"/>
    <n v="0"/>
    <n v="0"/>
    <n v="0"/>
    <n v="0"/>
  </r>
  <r>
    <s v="1_1_K"/>
    <x v="4"/>
    <x v="4"/>
    <m/>
    <m/>
    <s v="r1"/>
    <m/>
    <m/>
    <n v="0"/>
    <s v="b1"/>
    <m/>
    <m/>
    <b v="0"/>
    <m/>
    <n v="0"/>
    <n v="2"/>
    <x v="0"/>
    <n v="0"/>
    <n v="1"/>
    <n v="1"/>
    <n v="2"/>
    <x v="1"/>
    <x v="34"/>
    <s v="Y"/>
    <s v="N"/>
    <m/>
    <m/>
    <m/>
    <m/>
    <m/>
    <m/>
    <m/>
    <m/>
    <m/>
    <m/>
    <n v="1"/>
    <n v="1"/>
    <n v="1"/>
    <n v="1"/>
    <n v="1"/>
    <n v="1"/>
    <n v="0"/>
    <n v="0"/>
    <n v="0"/>
  </r>
  <r>
    <s v="1_2_K"/>
    <x v="4"/>
    <x v="0"/>
    <s v="b2"/>
    <m/>
    <m/>
    <s v="r2"/>
    <m/>
    <n v="0"/>
    <m/>
    <s v="b2"/>
    <m/>
    <b v="0"/>
    <m/>
    <n v="0"/>
    <n v="2"/>
    <x v="4"/>
    <n v="0"/>
    <n v="1"/>
    <n v="1"/>
    <n v="2"/>
    <x v="2"/>
    <x v="34"/>
    <s v="Y"/>
    <s v="N"/>
    <m/>
    <m/>
    <m/>
    <m/>
    <m/>
    <m/>
    <m/>
    <m/>
    <m/>
    <m/>
    <n v="10"/>
    <n v="10"/>
    <n v="2"/>
    <n v="2"/>
    <n v="2"/>
    <n v="2"/>
    <n v="0"/>
    <n v="0"/>
    <n v="0"/>
  </r>
  <r>
    <s v="1_3_K"/>
    <x v="4"/>
    <x v="0"/>
    <m/>
    <s v="b3"/>
    <m/>
    <m/>
    <s v="r3"/>
    <n v="0"/>
    <m/>
    <m/>
    <s v="b3"/>
    <b v="0"/>
    <m/>
    <n v="0"/>
    <n v="2"/>
    <x v="6"/>
    <n v="0"/>
    <n v="1"/>
    <n v="1"/>
    <n v="2"/>
    <x v="3"/>
    <x v="34"/>
    <s v="Y"/>
    <s v="N"/>
    <m/>
    <m/>
    <m/>
    <m/>
    <m/>
    <m/>
    <m/>
    <m/>
    <m/>
    <m/>
    <n v="100"/>
    <n v="100"/>
    <n v="3"/>
    <n v="3"/>
    <n v="3"/>
    <n v="3"/>
    <n v="0"/>
    <n v="0"/>
    <n v="0"/>
  </r>
  <r>
    <s v="1_4_K"/>
    <x v="4"/>
    <x v="4"/>
    <s v="b2"/>
    <m/>
    <s v="r1"/>
    <s v="r2"/>
    <m/>
    <n v="0"/>
    <s v="b1"/>
    <s v="b2"/>
    <m/>
    <b v="0"/>
    <m/>
    <n v="0"/>
    <n v="2"/>
    <x v="1"/>
    <n v="0"/>
    <n v="1"/>
    <n v="1"/>
    <n v="2"/>
    <x v="4"/>
    <x v="34"/>
    <s v="Y"/>
    <s v="N"/>
    <m/>
    <m/>
    <m/>
    <m/>
    <m/>
    <m/>
    <m/>
    <m/>
    <m/>
    <m/>
    <n v="11"/>
    <n v="11"/>
    <n v="4"/>
    <n v="4"/>
    <n v="4"/>
    <n v="4"/>
    <n v="0"/>
    <n v="0"/>
    <n v="0"/>
  </r>
  <r>
    <s v="1_5_K"/>
    <x v="4"/>
    <x v="4"/>
    <m/>
    <s v="b3"/>
    <s v="r1"/>
    <m/>
    <s v="r3"/>
    <n v="0"/>
    <s v="b1"/>
    <m/>
    <s v="b3"/>
    <b v="0"/>
    <m/>
    <n v="0"/>
    <n v="2"/>
    <x v="2"/>
    <n v="0"/>
    <n v="1"/>
    <n v="1"/>
    <n v="2"/>
    <x v="5"/>
    <x v="34"/>
    <s v="Y"/>
    <s v="N"/>
    <m/>
    <m/>
    <m/>
    <m/>
    <m/>
    <m/>
    <m/>
    <m/>
    <m/>
    <m/>
    <n v="101"/>
    <n v="101"/>
    <n v="5"/>
    <n v="5"/>
    <n v="5"/>
    <n v="5"/>
    <n v="0"/>
    <n v="0"/>
    <n v="0"/>
  </r>
  <r>
    <s v="1_6_K"/>
    <x v="4"/>
    <x v="0"/>
    <s v="b2"/>
    <s v="b3"/>
    <m/>
    <s v="r2"/>
    <s v="r3"/>
    <n v="0"/>
    <m/>
    <s v="b2"/>
    <s v="b3"/>
    <b v="0"/>
    <m/>
    <n v="0"/>
    <n v="2"/>
    <x v="5"/>
    <n v="0"/>
    <n v="1"/>
    <n v="1"/>
    <n v="2"/>
    <x v="6"/>
    <x v="34"/>
    <s v="Y"/>
    <s v="N"/>
    <m/>
    <m/>
    <m/>
    <m/>
    <m/>
    <m/>
    <m/>
    <m/>
    <m/>
    <m/>
    <n v="110"/>
    <n v="110"/>
    <n v="6"/>
    <n v="6"/>
    <n v="6"/>
    <n v="6"/>
    <n v="0"/>
    <n v="0"/>
    <n v="0"/>
  </r>
  <r>
    <s v="1_7_K"/>
    <x v="4"/>
    <x v="4"/>
    <s v="b2"/>
    <s v="b3"/>
    <s v="r1"/>
    <s v="r2"/>
    <s v="r3"/>
    <n v="0"/>
    <s v="b1"/>
    <s v="b2"/>
    <s v="b3"/>
    <b v="0"/>
    <m/>
    <n v="0"/>
    <n v="2"/>
    <x v="3"/>
    <n v="0"/>
    <n v="1"/>
    <n v="1"/>
    <n v="2"/>
    <x v="7"/>
    <x v="34"/>
    <s v="Y"/>
    <s v="N"/>
    <m/>
    <m/>
    <m/>
    <m/>
    <m/>
    <m/>
    <m/>
    <m/>
    <m/>
    <m/>
    <n v="111"/>
    <n v="111"/>
    <n v="7"/>
    <n v="7"/>
    <n v="7"/>
    <n v="7"/>
    <n v="0"/>
    <n v="0"/>
    <n v="0"/>
  </r>
  <r>
    <s v="2_0_K"/>
    <x v="4"/>
    <x v="0"/>
    <m/>
    <m/>
    <m/>
    <m/>
    <m/>
    <n v="0"/>
    <m/>
    <m/>
    <m/>
    <b v="0"/>
    <m/>
    <n v="0"/>
    <n v="3"/>
    <x v="7"/>
    <n v="0"/>
    <n v="2"/>
    <n v="1"/>
    <n v="3"/>
    <x v="0"/>
    <x v="34"/>
    <s v="Y"/>
    <s v="N"/>
    <m/>
    <m/>
    <m/>
    <m/>
    <m/>
    <m/>
    <m/>
    <m/>
    <m/>
    <m/>
    <n v="0"/>
    <n v="0"/>
    <n v="0"/>
    <n v="0"/>
    <n v="0"/>
    <n v="0"/>
    <n v="0"/>
    <n v="0"/>
    <n v="0"/>
  </r>
  <r>
    <s v="2_1_K"/>
    <x v="4"/>
    <x v="0"/>
    <m/>
    <m/>
    <m/>
    <m/>
    <m/>
    <n v="0"/>
    <s v="b1"/>
    <m/>
    <m/>
    <b v="0"/>
    <m/>
    <n v="0"/>
    <n v="3"/>
    <x v="7"/>
    <n v="0"/>
    <n v="2"/>
    <n v="1"/>
    <n v="3"/>
    <x v="1"/>
    <x v="34"/>
    <s v="Y"/>
    <s v="N"/>
    <m/>
    <m/>
    <m/>
    <m/>
    <m/>
    <m/>
    <m/>
    <m/>
    <m/>
    <m/>
    <n v="0"/>
    <n v="0"/>
    <n v="0"/>
    <n v="0"/>
    <n v="1"/>
    <n v="0"/>
    <n v="1"/>
    <n v="0"/>
    <n v="1"/>
  </r>
  <r>
    <s v="2_2_K"/>
    <x v="4"/>
    <x v="0"/>
    <m/>
    <m/>
    <m/>
    <m/>
    <m/>
    <n v="0"/>
    <m/>
    <s v="b2"/>
    <m/>
    <b v="0"/>
    <m/>
    <n v="0"/>
    <n v="3"/>
    <x v="7"/>
    <n v="0"/>
    <n v="2"/>
    <n v="1"/>
    <n v="3"/>
    <x v="2"/>
    <x v="34"/>
    <s v="Y"/>
    <s v="N"/>
    <m/>
    <m/>
    <m/>
    <m/>
    <m/>
    <m/>
    <m/>
    <m/>
    <m/>
    <m/>
    <n v="0"/>
    <n v="0"/>
    <n v="0"/>
    <n v="0"/>
    <n v="2"/>
    <n v="0"/>
    <n v="1"/>
    <n v="0"/>
    <n v="1"/>
  </r>
  <r>
    <s v="2_3_K"/>
    <x v="4"/>
    <x v="0"/>
    <m/>
    <m/>
    <m/>
    <m/>
    <m/>
    <n v="0"/>
    <m/>
    <m/>
    <s v="b3"/>
    <b v="0"/>
    <m/>
    <n v="0"/>
    <n v="3"/>
    <x v="7"/>
    <n v="0"/>
    <n v="2"/>
    <n v="1"/>
    <n v="3"/>
    <x v="3"/>
    <x v="34"/>
    <s v="Y"/>
    <s v="N"/>
    <m/>
    <m/>
    <m/>
    <m/>
    <m/>
    <m/>
    <m/>
    <m/>
    <m/>
    <m/>
    <n v="0"/>
    <n v="0"/>
    <n v="0"/>
    <n v="0"/>
    <n v="3"/>
    <n v="0"/>
    <n v="1"/>
    <n v="0"/>
    <n v="1"/>
  </r>
  <r>
    <s v="2_4_K"/>
    <x v="4"/>
    <x v="0"/>
    <m/>
    <m/>
    <m/>
    <m/>
    <m/>
    <n v="0"/>
    <s v="b1"/>
    <s v="b2"/>
    <m/>
    <b v="0"/>
    <m/>
    <n v="0"/>
    <n v="3"/>
    <x v="7"/>
    <n v="0"/>
    <n v="2"/>
    <n v="1"/>
    <n v="3"/>
    <x v="4"/>
    <x v="34"/>
    <s v="Y"/>
    <s v="N"/>
    <m/>
    <m/>
    <m/>
    <m/>
    <m/>
    <m/>
    <m/>
    <m/>
    <m/>
    <m/>
    <n v="0"/>
    <n v="0"/>
    <n v="0"/>
    <n v="0"/>
    <n v="4"/>
    <n v="0"/>
    <n v="1"/>
    <n v="0"/>
    <n v="1"/>
  </r>
  <r>
    <s v="2_5_K"/>
    <x v="4"/>
    <x v="0"/>
    <m/>
    <m/>
    <m/>
    <m/>
    <m/>
    <n v="0"/>
    <s v="b1"/>
    <m/>
    <s v="b3"/>
    <b v="0"/>
    <m/>
    <n v="0"/>
    <n v="3"/>
    <x v="7"/>
    <n v="0"/>
    <n v="2"/>
    <n v="1"/>
    <n v="3"/>
    <x v="5"/>
    <x v="34"/>
    <s v="Y"/>
    <s v="N"/>
    <m/>
    <m/>
    <m/>
    <m/>
    <m/>
    <m/>
    <m/>
    <m/>
    <m/>
    <m/>
    <n v="0"/>
    <n v="0"/>
    <n v="0"/>
    <n v="0"/>
    <n v="5"/>
    <n v="0"/>
    <n v="1"/>
    <n v="0"/>
    <n v="1"/>
  </r>
  <r>
    <s v="2_6_K"/>
    <x v="4"/>
    <x v="0"/>
    <m/>
    <m/>
    <m/>
    <m/>
    <m/>
    <n v="0"/>
    <m/>
    <s v="b2"/>
    <s v="b3"/>
    <b v="0"/>
    <m/>
    <n v="0"/>
    <n v="3"/>
    <x v="7"/>
    <n v="0"/>
    <n v="2"/>
    <n v="1"/>
    <n v="3"/>
    <x v="6"/>
    <x v="34"/>
    <s v="Y"/>
    <s v="N"/>
    <m/>
    <m/>
    <m/>
    <m/>
    <m/>
    <m/>
    <m/>
    <m/>
    <m/>
    <m/>
    <n v="0"/>
    <n v="0"/>
    <n v="0"/>
    <n v="0"/>
    <n v="6"/>
    <n v="0"/>
    <n v="1"/>
    <n v="0"/>
    <n v="1"/>
  </r>
  <r>
    <s v="2_7_K"/>
    <x v="4"/>
    <x v="0"/>
    <m/>
    <m/>
    <m/>
    <m/>
    <m/>
    <n v="0"/>
    <s v="b1"/>
    <s v="b2"/>
    <s v="b3"/>
    <b v="0"/>
    <m/>
    <n v="0"/>
    <n v="3"/>
    <x v="7"/>
    <n v="0"/>
    <n v="2"/>
    <n v="1"/>
    <n v="3"/>
    <x v="7"/>
    <x v="34"/>
    <s v="Y"/>
    <s v="N"/>
    <m/>
    <m/>
    <m/>
    <m/>
    <m/>
    <m/>
    <m/>
    <m/>
    <m/>
    <m/>
    <n v="0"/>
    <n v="0"/>
    <n v="0"/>
    <n v="0"/>
    <n v="7"/>
    <n v="0"/>
    <n v="1"/>
    <n v="0"/>
    <n v="1"/>
  </r>
  <r>
    <s v="0_0_PO"/>
    <x v="4"/>
    <x v="0"/>
    <m/>
    <m/>
    <m/>
    <m/>
    <m/>
    <n v="0"/>
    <m/>
    <m/>
    <m/>
    <b v="0"/>
    <m/>
    <n v="0"/>
    <n v="1"/>
    <x v="7"/>
    <n v="0"/>
    <n v="0"/>
    <n v="1"/>
    <n v="1"/>
    <x v="0"/>
    <x v="35"/>
    <s v="Y"/>
    <s v="N"/>
    <m/>
    <m/>
    <m/>
    <m/>
    <m/>
    <m/>
    <m/>
    <m/>
    <m/>
    <m/>
    <n v="0"/>
    <n v="0"/>
    <n v="0"/>
    <n v="0"/>
    <n v="0"/>
    <n v="0"/>
    <n v="0"/>
    <n v="0"/>
    <n v="0"/>
  </r>
  <r>
    <s v="0_1_PO"/>
    <x v="4"/>
    <x v="4"/>
    <m/>
    <m/>
    <s v="r1"/>
    <m/>
    <m/>
    <n v="0"/>
    <s v="b1"/>
    <m/>
    <m/>
    <b v="0"/>
    <m/>
    <n v="0"/>
    <n v="1"/>
    <x v="0"/>
    <n v="0"/>
    <n v="0"/>
    <n v="1"/>
    <n v="1"/>
    <x v="1"/>
    <x v="35"/>
    <s v="Y"/>
    <s v="N"/>
    <m/>
    <m/>
    <m/>
    <m/>
    <m/>
    <m/>
    <m/>
    <m/>
    <m/>
    <m/>
    <n v="1"/>
    <n v="1"/>
    <n v="1"/>
    <n v="1"/>
    <n v="1"/>
    <n v="1"/>
    <n v="0"/>
    <n v="0"/>
    <n v="0"/>
  </r>
  <r>
    <s v="0_2_PO"/>
    <x v="4"/>
    <x v="0"/>
    <s v="b2"/>
    <m/>
    <m/>
    <s v="r2"/>
    <m/>
    <n v="0"/>
    <m/>
    <s v="b2"/>
    <m/>
    <b v="0"/>
    <m/>
    <n v="0"/>
    <n v="1"/>
    <x v="4"/>
    <n v="0"/>
    <n v="0"/>
    <n v="1"/>
    <n v="1"/>
    <x v="2"/>
    <x v="35"/>
    <s v="Y"/>
    <s v="N"/>
    <m/>
    <m/>
    <m/>
    <m/>
    <m/>
    <m/>
    <m/>
    <m/>
    <m/>
    <m/>
    <n v="10"/>
    <n v="10"/>
    <n v="2"/>
    <n v="2"/>
    <n v="2"/>
    <n v="2"/>
    <n v="0"/>
    <n v="0"/>
    <n v="0"/>
  </r>
  <r>
    <s v="0_3_PO"/>
    <x v="4"/>
    <x v="0"/>
    <m/>
    <s v="b3"/>
    <m/>
    <m/>
    <s v="r3"/>
    <n v="0"/>
    <m/>
    <m/>
    <s v="b3"/>
    <b v="0"/>
    <m/>
    <n v="0"/>
    <n v="1"/>
    <x v="6"/>
    <n v="0"/>
    <n v="0"/>
    <n v="1"/>
    <n v="1"/>
    <x v="3"/>
    <x v="35"/>
    <s v="Y"/>
    <s v="N"/>
    <m/>
    <m/>
    <m/>
    <m/>
    <m/>
    <m/>
    <m/>
    <m/>
    <m/>
    <m/>
    <n v="100"/>
    <n v="100"/>
    <n v="3"/>
    <n v="3"/>
    <n v="3"/>
    <n v="3"/>
    <n v="0"/>
    <n v="0"/>
    <n v="0"/>
  </r>
  <r>
    <s v="0_4_PO"/>
    <x v="4"/>
    <x v="4"/>
    <s v="b2"/>
    <m/>
    <s v="r1"/>
    <s v="r2"/>
    <m/>
    <n v="0"/>
    <s v="b1"/>
    <s v="b2"/>
    <m/>
    <b v="0"/>
    <m/>
    <n v="0"/>
    <n v="1"/>
    <x v="1"/>
    <n v="0"/>
    <n v="0"/>
    <n v="1"/>
    <n v="1"/>
    <x v="4"/>
    <x v="35"/>
    <s v="Y"/>
    <s v="N"/>
    <m/>
    <m/>
    <m/>
    <m/>
    <m/>
    <m/>
    <m/>
    <m/>
    <m/>
    <m/>
    <n v="11"/>
    <n v="11"/>
    <n v="4"/>
    <n v="4"/>
    <n v="4"/>
    <n v="4"/>
    <n v="0"/>
    <n v="0"/>
    <n v="0"/>
  </r>
  <r>
    <s v="0_5_PO"/>
    <x v="4"/>
    <x v="4"/>
    <m/>
    <s v="b3"/>
    <s v="r1"/>
    <m/>
    <s v="r3"/>
    <n v="0"/>
    <s v="b1"/>
    <m/>
    <s v="b3"/>
    <b v="0"/>
    <m/>
    <n v="0"/>
    <n v="1"/>
    <x v="2"/>
    <n v="0"/>
    <n v="0"/>
    <n v="1"/>
    <n v="1"/>
    <x v="5"/>
    <x v="35"/>
    <s v="Y"/>
    <s v="N"/>
    <m/>
    <m/>
    <m/>
    <m/>
    <m/>
    <m/>
    <m/>
    <m/>
    <m/>
    <m/>
    <n v="101"/>
    <n v="101"/>
    <n v="5"/>
    <n v="5"/>
    <n v="5"/>
    <n v="5"/>
    <n v="0"/>
    <n v="0"/>
    <n v="0"/>
  </r>
  <r>
    <s v="0_6_PO"/>
    <x v="4"/>
    <x v="0"/>
    <s v="b2"/>
    <s v="b3"/>
    <m/>
    <s v="r2"/>
    <s v="r3"/>
    <n v="0"/>
    <m/>
    <s v="b2"/>
    <s v="b3"/>
    <b v="0"/>
    <m/>
    <n v="0"/>
    <n v="1"/>
    <x v="5"/>
    <n v="0"/>
    <n v="0"/>
    <n v="1"/>
    <n v="1"/>
    <x v="6"/>
    <x v="35"/>
    <s v="Y"/>
    <s v="N"/>
    <m/>
    <m/>
    <m/>
    <m/>
    <m/>
    <m/>
    <m/>
    <m/>
    <m/>
    <m/>
    <n v="110"/>
    <n v="110"/>
    <n v="6"/>
    <n v="6"/>
    <n v="6"/>
    <n v="6"/>
    <n v="0"/>
    <n v="0"/>
    <n v="0"/>
  </r>
  <r>
    <s v="0_7_PO"/>
    <x v="4"/>
    <x v="4"/>
    <s v="b2"/>
    <s v="b3"/>
    <s v="r1"/>
    <s v="r2"/>
    <s v="r3"/>
    <n v="0"/>
    <s v="b1"/>
    <s v="b2"/>
    <s v="b3"/>
    <b v="0"/>
    <m/>
    <n v="0"/>
    <n v="1"/>
    <x v="3"/>
    <n v="0"/>
    <n v="0"/>
    <n v="1"/>
    <n v="1"/>
    <x v="7"/>
    <x v="35"/>
    <s v="Y"/>
    <s v="N"/>
    <m/>
    <m/>
    <m/>
    <m/>
    <m/>
    <m/>
    <m/>
    <m/>
    <m/>
    <m/>
    <n v="111"/>
    <n v="111"/>
    <n v="7"/>
    <n v="7"/>
    <n v="7"/>
    <n v="7"/>
    <n v="0"/>
    <n v="0"/>
    <n v="0"/>
  </r>
  <r>
    <s v="1_0_PO"/>
    <x v="4"/>
    <x v="0"/>
    <m/>
    <m/>
    <m/>
    <m/>
    <m/>
    <n v="0"/>
    <m/>
    <m/>
    <m/>
    <b v="0"/>
    <m/>
    <n v="0"/>
    <n v="2"/>
    <x v="7"/>
    <n v="0"/>
    <n v="1"/>
    <n v="1"/>
    <n v="2"/>
    <x v="0"/>
    <x v="35"/>
    <s v="Y"/>
    <s v="N"/>
    <m/>
    <m/>
    <m/>
    <m/>
    <m/>
    <m/>
    <m/>
    <m/>
    <m/>
    <m/>
    <n v="0"/>
    <n v="0"/>
    <n v="0"/>
    <n v="0"/>
    <n v="0"/>
    <n v="0"/>
    <n v="0"/>
    <n v="0"/>
    <n v="0"/>
  </r>
  <r>
    <s v="1_1_PO"/>
    <x v="4"/>
    <x v="4"/>
    <m/>
    <m/>
    <s v="r1"/>
    <m/>
    <m/>
    <n v="0"/>
    <s v="b1"/>
    <m/>
    <m/>
    <b v="0"/>
    <m/>
    <n v="0"/>
    <n v="2"/>
    <x v="0"/>
    <n v="0"/>
    <n v="1"/>
    <n v="1"/>
    <n v="2"/>
    <x v="1"/>
    <x v="35"/>
    <s v="Y"/>
    <s v="N"/>
    <m/>
    <m/>
    <m/>
    <m/>
    <m/>
    <m/>
    <m/>
    <m/>
    <m/>
    <m/>
    <n v="1"/>
    <n v="1"/>
    <n v="1"/>
    <n v="1"/>
    <n v="1"/>
    <n v="1"/>
    <n v="0"/>
    <n v="0"/>
    <n v="0"/>
  </r>
  <r>
    <s v="1_2_PO"/>
    <x v="4"/>
    <x v="0"/>
    <s v="b2"/>
    <m/>
    <m/>
    <s v="r2"/>
    <m/>
    <n v="0"/>
    <m/>
    <s v="b2"/>
    <m/>
    <b v="0"/>
    <m/>
    <n v="0"/>
    <n v="2"/>
    <x v="4"/>
    <n v="0"/>
    <n v="1"/>
    <n v="1"/>
    <n v="2"/>
    <x v="2"/>
    <x v="35"/>
    <s v="Y"/>
    <s v="N"/>
    <m/>
    <m/>
    <m/>
    <m/>
    <m/>
    <m/>
    <m/>
    <m/>
    <m/>
    <m/>
    <n v="10"/>
    <n v="10"/>
    <n v="2"/>
    <n v="2"/>
    <n v="2"/>
    <n v="2"/>
    <n v="0"/>
    <n v="0"/>
    <n v="0"/>
  </r>
  <r>
    <s v="1_3_PO"/>
    <x v="4"/>
    <x v="0"/>
    <m/>
    <s v="b3"/>
    <m/>
    <m/>
    <s v="r3"/>
    <n v="0"/>
    <m/>
    <m/>
    <s v="b3"/>
    <b v="0"/>
    <m/>
    <n v="0"/>
    <n v="2"/>
    <x v="6"/>
    <n v="0"/>
    <n v="1"/>
    <n v="1"/>
    <n v="2"/>
    <x v="3"/>
    <x v="35"/>
    <s v="Y"/>
    <s v="N"/>
    <m/>
    <m/>
    <m/>
    <m/>
    <m/>
    <m/>
    <m/>
    <m/>
    <m/>
    <m/>
    <n v="100"/>
    <n v="100"/>
    <n v="3"/>
    <n v="3"/>
    <n v="3"/>
    <n v="3"/>
    <n v="0"/>
    <n v="0"/>
    <n v="0"/>
  </r>
  <r>
    <s v="1_4_PO"/>
    <x v="4"/>
    <x v="4"/>
    <s v="b2"/>
    <m/>
    <s v="r1"/>
    <s v="r2"/>
    <m/>
    <n v="0"/>
    <s v="b1"/>
    <s v="b2"/>
    <m/>
    <b v="0"/>
    <m/>
    <n v="0"/>
    <n v="2"/>
    <x v="1"/>
    <n v="0"/>
    <n v="1"/>
    <n v="1"/>
    <n v="2"/>
    <x v="4"/>
    <x v="35"/>
    <s v="Y"/>
    <s v="N"/>
    <m/>
    <m/>
    <m/>
    <m/>
    <m/>
    <m/>
    <m/>
    <m/>
    <m/>
    <m/>
    <n v="11"/>
    <n v="11"/>
    <n v="4"/>
    <n v="4"/>
    <n v="4"/>
    <n v="4"/>
    <n v="0"/>
    <n v="0"/>
    <n v="0"/>
  </r>
  <r>
    <s v="1_5_PO"/>
    <x v="4"/>
    <x v="4"/>
    <m/>
    <s v="b3"/>
    <s v="r1"/>
    <m/>
    <s v="r3"/>
    <n v="0"/>
    <s v="b1"/>
    <m/>
    <s v="b3"/>
    <b v="0"/>
    <m/>
    <n v="0"/>
    <n v="2"/>
    <x v="2"/>
    <n v="0"/>
    <n v="1"/>
    <n v="1"/>
    <n v="2"/>
    <x v="5"/>
    <x v="35"/>
    <s v="Y"/>
    <s v="N"/>
    <m/>
    <m/>
    <m/>
    <m/>
    <m/>
    <m/>
    <m/>
    <m/>
    <m/>
    <m/>
    <n v="101"/>
    <n v="101"/>
    <n v="5"/>
    <n v="5"/>
    <n v="5"/>
    <n v="5"/>
    <n v="0"/>
    <n v="0"/>
    <n v="0"/>
  </r>
  <r>
    <s v="1_6_PO"/>
    <x v="4"/>
    <x v="0"/>
    <s v="b2"/>
    <s v="b3"/>
    <m/>
    <s v="r2"/>
    <s v="r3"/>
    <n v="0"/>
    <m/>
    <s v="b2"/>
    <s v="b3"/>
    <b v="0"/>
    <m/>
    <n v="0"/>
    <n v="2"/>
    <x v="5"/>
    <n v="0"/>
    <n v="1"/>
    <n v="1"/>
    <n v="2"/>
    <x v="6"/>
    <x v="35"/>
    <s v="Y"/>
    <s v="N"/>
    <m/>
    <m/>
    <m/>
    <m/>
    <m/>
    <m/>
    <m/>
    <m/>
    <m/>
    <m/>
    <n v="110"/>
    <n v="110"/>
    <n v="6"/>
    <n v="6"/>
    <n v="6"/>
    <n v="6"/>
    <n v="0"/>
    <n v="0"/>
    <n v="0"/>
  </r>
  <r>
    <s v="1_7_PO"/>
    <x v="4"/>
    <x v="4"/>
    <s v="b2"/>
    <s v="b3"/>
    <s v="r1"/>
    <s v="r2"/>
    <s v="r3"/>
    <n v="0"/>
    <s v="b1"/>
    <s v="b2"/>
    <s v="b3"/>
    <b v="0"/>
    <m/>
    <n v="0"/>
    <n v="2"/>
    <x v="3"/>
    <n v="0"/>
    <n v="1"/>
    <n v="1"/>
    <n v="2"/>
    <x v="7"/>
    <x v="35"/>
    <s v="Y"/>
    <s v="N"/>
    <m/>
    <m/>
    <m/>
    <m/>
    <m/>
    <m/>
    <m/>
    <m/>
    <m/>
    <m/>
    <n v="111"/>
    <n v="111"/>
    <n v="7"/>
    <n v="7"/>
    <n v="7"/>
    <n v="7"/>
    <n v="0"/>
    <n v="0"/>
    <n v="0"/>
  </r>
  <r>
    <s v="2_0_PO"/>
    <x v="4"/>
    <x v="0"/>
    <m/>
    <m/>
    <m/>
    <m/>
    <m/>
    <n v="0"/>
    <m/>
    <m/>
    <m/>
    <b v="0"/>
    <m/>
    <n v="0"/>
    <n v="3"/>
    <x v="7"/>
    <n v="0"/>
    <n v="2"/>
    <n v="1"/>
    <n v="3"/>
    <x v="0"/>
    <x v="35"/>
    <s v="Y"/>
    <s v="N"/>
    <m/>
    <m/>
    <m/>
    <m/>
    <m/>
    <m/>
    <m/>
    <m/>
    <m/>
    <m/>
    <n v="0"/>
    <n v="0"/>
    <n v="0"/>
    <n v="0"/>
    <n v="0"/>
    <n v="0"/>
    <n v="0"/>
    <n v="0"/>
    <n v="0"/>
  </r>
  <r>
    <s v="2_1_PO"/>
    <x v="4"/>
    <x v="0"/>
    <m/>
    <m/>
    <m/>
    <m/>
    <m/>
    <n v="0"/>
    <s v="b1"/>
    <m/>
    <m/>
    <b v="0"/>
    <m/>
    <n v="0"/>
    <n v="3"/>
    <x v="7"/>
    <n v="0"/>
    <n v="2"/>
    <n v="1"/>
    <n v="3"/>
    <x v="1"/>
    <x v="35"/>
    <s v="Y"/>
    <s v="N"/>
    <m/>
    <m/>
    <m/>
    <m/>
    <m/>
    <m/>
    <m/>
    <m/>
    <m/>
    <m/>
    <n v="0"/>
    <n v="0"/>
    <n v="0"/>
    <n v="0"/>
    <n v="1"/>
    <n v="0"/>
    <n v="1"/>
    <n v="0"/>
    <n v="1"/>
  </r>
  <r>
    <s v="2_2_PO"/>
    <x v="4"/>
    <x v="0"/>
    <m/>
    <m/>
    <m/>
    <m/>
    <m/>
    <n v="0"/>
    <m/>
    <s v="b2"/>
    <m/>
    <b v="0"/>
    <m/>
    <n v="0"/>
    <n v="3"/>
    <x v="7"/>
    <n v="0"/>
    <n v="2"/>
    <n v="1"/>
    <n v="3"/>
    <x v="2"/>
    <x v="35"/>
    <s v="Y"/>
    <s v="N"/>
    <m/>
    <m/>
    <m/>
    <m/>
    <m/>
    <m/>
    <m/>
    <m/>
    <m/>
    <m/>
    <n v="0"/>
    <n v="0"/>
    <n v="0"/>
    <n v="0"/>
    <n v="2"/>
    <n v="0"/>
    <n v="1"/>
    <n v="0"/>
    <n v="1"/>
  </r>
  <r>
    <s v="2_3_PO"/>
    <x v="4"/>
    <x v="0"/>
    <m/>
    <m/>
    <m/>
    <m/>
    <m/>
    <n v="0"/>
    <m/>
    <m/>
    <s v="b3"/>
    <b v="0"/>
    <m/>
    <n v="0"/>
    <n v="3"/>
    <x v="7"/>
    <n v="0"/>
    <n v="2"/>
    <n v="1"/>
    <n v="3"/>
    <x v="3"/>
    <x v="35"/>
    <s v="Y"/>
    <s v="N"/>
    <m/>
    <m/>
    <m/>
    <m/>
    <m/>
    <m/>
    <m/>
    <m/>
    <m/>
    <m/>
    <n v="0"/>
    <n v="0"/>
    <n v="0"/>
    <n v="0"/>
    <n v="3"/>
    <n v="0"/>
    <n v="1"/>
    <n v="0"/>
    <n v="1"/>
  </r>
  <r>
    <s v="2_4_PO"/>
    <x v="4"/>
    <x v="0"/>
    <m/>
    <m/>
    <m/>
    <m/>
    <m/>
    <n v="0"/>
    <s v="b1"/>
    <s v="b2"/>
    <m/>
    <b v="0"/>
    <m/>
    <n v="0"/>
    <n v="3"/>
    <x v="7"/>
    <n v="0"/>
    <n v="2"/>
    <n v="1"/>
    <n v="3"/>
    <x v="4"/>
    <x v="35"/>
    <s v="Y"/>
    <s v="N"/>
    <m/>
    <m/>
    <m/>
    <m/>
    <m/>
    <m/>
    <m/>
    <m/>
    <m/>
    <m/>
    <n v="0"/>
    <n v="0"/>
    <n v="0"/>
    <n v="0"/>
    <n v="4"/>
    <n v="0"/>
    <n v="1"/>
    <n v="0"/>
    <n v="1"/>
  </r>
  <r>
    <s v="2_5_PO"/>
    <x v="4"/>
    <x v="0"/>
    <m/>
    <m/>
    <m/>
    <m/>
    <m/>
    <n v="0"/>
    <s v="b1"/>
    <m/>
    <s v="b3"/>
    <b v="0"/>
    <m/>
    <n v="0"/>
    <n v="3"/>
    <x v="7"/>
    <n v="0"/>
    <n v="2"/>
    <n v="1"/>
    <n v="3"/>
    <x v="5"/>
    <x v="35"/>
    <s v="Y"/>
    <s v="N"/>
    <m/>
    <m/>
    <m/>
    <m/>
    <m/>
    <m/>
    <m/>
    <m/>
    <m/>
    <m/>
    <n v="0"/>
    <n v="0"/>
    <n v="0"/>
    <n v="0"/>
    <n v="5"/>
    <n v="0"/>
    <n v="1"/>
    <n v="0"/>
    <n v="1"/>
  </r>
  <r>
    <s v="2_6_PO"/>
    <x v="4"/>
    <x v="0"/>
    <m/>
    <m/>
    <m/>
    <m/>
    <m/>
    <n v="0"/>
    <m/>
    <s v="b2"/>
    <s v="b3"/>
    <b v="0"/>
    <m/>
    <n v="0"/>
    <n v="3"/>
    <x v="7"/>
    <n v="0"/>
    <n v="2"/>
    <n v="1"/>
    <n v="3"/>
    <x v="6"/>
    <x v="35"/>
    <s v="Y"/>
    <s v="N"/>
    <m/>
    <m/>
    <m/>
    <m/>
    <m/>
    <m/>
    <m/>
    <m/>
    <m/>
    <m/>
    <n v="0"/>
    <n v="0"/>
    <n v="0"/>
    <n v="0"/>
    <n v="6"/>
    <n v="0"/>
    <n v="1"/>
    <n v="0"/>
    <n v="1"/>
  </r>
  <r>
    <s v="2_7_PO"/>
    <x v="4"/>
    <x v="0"/>
    <m/>
    <m/>
    <m/>
    <m/>
    <m/>
    <n v="0"/>
    <s v="b1"/>
    <s v="b2"/>
    <s v="b3"/>
    <b v="0"/>
    <m/>
    <n v="0"/>
    <n v="3"/>
    <x v="7"/>
    <n v="0"/>
    <n v="2"/>
    <n v="1"/>
    <n v="3"/>
    <x v="7"/>
    <x v="35"/>
    <s v="Y"/>
    <s v="N"/>
    <m/>
    <m/>
    <m/>
    <m/>
    <m/>
    <m/>
    <m/>
    <m/>
    <m/>
    <m/>
    <n v="0"/>
    <n v="0"/>
    <n v="0"/>
    <n v="0"/>
    <n v="7"/>
    <n v="0"/>
    <n v="1"/>
    <n v="0"/>
    <n v="1"/>
  </r>
  <r>
    <s v="0_1_SacF"/>
    <x v="4"/>
    <x v="1"/>
    <m/>
    <m/>
    <m/>
    <s v="r1"/>
    <m/>
    <n v="0"/>
    <s v="b2"/>
    <m/>
    <m/>
    <b v="1"/>
    <m/>
    <n v="0"/>
    <n v="1"/>
    <x v="4"/>
    <n v="0"/>
    <n v="0"/>
    <n v="1"/>
    <n v="1"/>
    <x v="1"/>
    <x v="36"/>
    <s v="N"/>
    <s v="N"/>
    <m/>
    <m/>
    <n v="2"/>
    <m/>
    <m/>
    <m/>
    <m/>
    <m/>
    <m/>
    <n v="2"/>
    <n v="1"/>
    <n v="10"/>
    <n v="1"/>
    <n v="2"/>
    <n v="1"/>
    <n v="2"/>
    <n v="0"/>
    <n v="0"/>
    <n v="0"/>
  </r>
  <r>
    <s v="0_2_SacF"/>
    <x v="4"/>
    <x v="0"/>
    <s v="b3"/>
    <m/>
    <m/>
    <m/>
    <s v="r2"/>
    <n v="0"/>
    <m/>
    <s v="b3"/>
    <m/>
    <b v="1"/>
    <m/>
    <n v="0"/>
    <n v="1"/>
    <x v="6"/>
    <n v="0"/>
    <n v="0"/>
    <n v="1"/>
    <n v="1"/>
    <x v="2"/>
    <x v="36"/>
    <s v="N"/>
    <s v="N"/>
    <s v="LF"/>
    <s v="CF"/>
    <n v="3"/>
    <m/>
    <m/>
    <m/>
    <m/>
    <m/>
    <m/>
    <n v="3"/>
    <n v="10"/>
    <n v="100"/>
    <n v="2"/>
    <n v="3"/>
    <n v="2"/>
    <n v="3"/>
    <n v="0"/>
    <n v="0"/>
    <n v="0"/>
  </r>
  <r>
    <s v="0_3_SacF"/>
    <x v="4"/>
    <x v="0"/>
    <m/>
    <s v="b4"/>
    <m/>
    <m/>
    <m/>
    <n v="0"/>
    <m/>
    <m/>
    <s v="b4"/>
    <b v="1"/>
    <m/>
    <n v="1"/>
    <n v="1"/>
    <x v="7"/>
    <n v="1"/>
    <n v="0"/>
    <n v="1"/>
    <n v="1"/>
    <x v="3"/>
    <x v="36"/>
    <s v="N"/>
    <s v="N"/>
    <m/>
    <m/>
    <n v="4"/>
    <m/>
    <m/>
    <m/>
    <m/>
    <m/>
    <m/>
    <n v="4"/>
    <n v="100"/>
    <n v="0"/>
    <n v="3"/>
    <n v="0"/>
    <n v="3"/>
    <n v="0"/>
    <n v="0"/>
    <n v="0"/>
    <n v="0"/>
  </r>
  <r>
    <s v="0_4_SacF"/>
    <x v="4"/>
    <x v="4"/>
    <s v="b3"/>
    <m/>
    <s v="r1"/>
    <m/>
    <s v="r2"/>
    <n v="0"/>
    <s v="b1"/>
    <s v="b3"/>
    <m/>
    <b v="1"/>
    <m/>
    <n v="0"/>
    <n v="1"/>
    <x v="2"/>
    <n v="0"/>
    <n v="0"/>
    <n v="1"/>
    <n v="1"/>
    <x v="4"/>
    <x v="36"/>
    <s v="N"/>
    <s v="N"/>
    <s v="LF"/>
    <s v="CF"/>
    <n v="3"/>
    <m/>
    <m/>
    <m/>
    <m/>
    <m/>
    <m/>
    <n v="3"/>
    <n v="11"/>
    <n v="101"/>
    <n v="4"/>
    <n v="5"/>
    <n v="4"/>
    <n v="5"/>
    <n v="0"/>
    <n v="0"/>
    <n v="0"/>
  </r>
  <r>
    <s v="0_5_SacF"/>
    <x v="4"/>
    <x v="4"/>
    <m/>
    <s v="b4"/>
    <s v="r1"/>
    <m/>
    <m/>
    <n v="0"/>
    <s v="b1"/>
    <m/>
    <s v="b4"/>
    <b v="1"/>
    <m/>
    <n v="1"/>
    <n v="1"/>
    <x v="0"/>
    <n v="1"/>
    <n v="0"/>
    <n v="1"/>
    <n v="1"/>
    <x v="5"/>
    <x v="36"/>
    <s v="N"/>
    <s v="N"/>
    <m/>
    <m/>
    <n v="4"/>
    <m/>
    <m/>
    <m/>
    <m/>
    <m/>
    <m/>
    <n v="4"/>
    <n v="101"/>
    <n v="1"/>
    <n v="5"/>
    <n v="1"/>
    <n v="5"/>
    <n v="1"/>
    <n v="0"/>
    <n v="0"/>
    <n v="0"/>
  </r>
  <r>
    <s v="0_6_SacF"/>
    <x v="4"/>
    <x v="0"/>
    <s v="b2"/>
    <s v="b4"/>
    <m/>
    <s v="r2"/>
    <m/>
    <n v="0"/>
    <m/>
    <s v="b2"/>
    <s v="b4"/>
    <b v="1"/>
    <m/>
    <n v="1"/>
    <n v="1"/>
    <x v="4"/>
    <n v="1"/>
    <n v="0"/>
    <n v="1"/>
    <n v="1"/>
    <x v="6"/>
    <x v="36"/>
    <s v="N"/>
    <s v="N"/>
    <m/>
    <m/>
    <n v="4"/>
    <m/>
    <m/>
    <m/>
    <m/>
    <m/>
    <m/>
    <n v="4"/>
    <n v="110"/>
    <n v="10"/>
    <n v="6"/>
    <n v="2"/>
    <n v="6"/>
    <n v="2"/>
    <n v="0"/>
    <n v="0"/>
    <n v="0"/>
  </r>
  <r>
    <s v="0_7_SacF"/>
    <x v="4"/>
    <x v="4"/>
    <s v="b2"/>
    <s v="b4"/>
    <s v="r1"/>
    <s v="r2"/>
    <m/>
    <n v="0"/>
    <s v="b1"/>
    <s v="b2"/>
    <s v="b4"/>
    <b v="1"/>
    <m/>
    <n v="1"/>
    <n v="1"/>
    <x v="1"/>
    <n v="1"/>
    <n v="0"/>
    <n v="1"/>
    <n v="1"/>
    <x v="7"/>
    <x v="36"/>
    <s v="N"/>
    <s v="N"/>
    <m/>
    <m/>
    <n v="4"/>
    <m/>
    <m/>
    <m/>
    <m/>
    <m/>
    <m/>
    <n v="4"/>
    <n v="111"/>
    <n v="11"/>
    <n v="7"/>
    <n v="4"/>
    <n v="7"/>
    <n v="4"/>
    <n v="0"/>
    <n v="0"/>
    <n v="0"/>
  </r>
  <r>
    <s v="1_1_SacF"/>
    <x v="4"/>
    <x v="1"/>
    <m/>
    <m/>
    <m/>
    <s v="r1"/>
    <m/>
    <n v="0"/>
    <s v="b2"/>
    <m/>
    <m/>
    <b v="1"/>
    <m/>
    <n v="0"/>
    <n v="2"/>
    <x v="4"/>
    <n v="0"/>
    <n v="1"/>
    <n v="1"/>
    <n v="2"/>
    <x v="1"/>
    <x v="36"/>
    <s v="N"/>
    <s v="N"/>
    <m/>
    <m/>
    <n v="2"/>
    <m/>
    <m/>
    <m/>
    <m/>
    <m/>
    <m/>
    <n v="2"/>
    <n v="1"/>
    <n v="10"/>
    <n v="1"/>
    <n v="2"/>
    <n v="1"/>
    <n v="2"/>
    <n v="0"/>
    <n v="0"/>
    <n v="0"/>
  </r>
  <r>
    <s v="1_2_SacF"/>
    <x v="4"/>
    <x v="0"/>
    <s v="b3"/>
    <m/>
    <m/>
    <m/>
    <s v="r2"/>
    <n v="0"/>
    <m/>
    <s v="b3"/>
    <m/>
    <b v="1"/>
    <m/>
    <n v="0"/>
    <n v="2"/>
    <x v="6"/>
    <n v="0"/>
    <n v="1"/>
    <n v="1"/>
    <n v="2"/>
    <x v="2"/>
    <x v="36"/>
    <s v="N"/>
    <s v="N"/>
    <s v="LF"/>
    <s v="CF"/>
    <n v="3"/>
    <m/>
    <m/>
    <m/>
    <m/>
    <m/>
    <m/>
    <n v="3"/>
    <n v="10"/>
    <n v="100"/>
    <n v="2"/>
    <n v="3"/>
    <n v="2"/>
    <n v="3"/>
    <n v="0"/>
    <n v="0"/>
    <n v="0"/>
  </r>
  <r>
    <s v="1_3_SacF"/>
    <x v="4"/>
    <x v="0"/>
    <m/>
    <s v="b4"/>
    <m/>
    <m/>
    <m/>
    <n v="0"/>
    <m/>
    <m/>
    <s v="b4"/>
    <b v="1"/>
    <m/>
    <n v="1"/>
    <n v="2"/>
    <x v="7"/>
    <n v="1"/>
    <n v="1"/>
    <n v="1"/>
    <n v="2"/>
    <x v="3"/>
    <x v="36"/>
    <s v="N"/>
    <s v="N"/>
    <m/>
    <m/>
    <n v="4"/>
    <m/>
    <m/>
    <m/>
    <m/>
    <m/>
    <m/>
    <n v="4"/>
    <n v="100"/>
    <n v="0"/>
    <n v="3"/>
    <n v="0"/>
    <n v="3"/>
    <n v="0"/>
    <n v="0"/>
    <n v="0"/>
    <n v="0"/>
  </r>
  <r>
    <s v="1_4_SacF"/>
    <x v="4"/>
    <x v="4"/>
    <s v="b3"/>
    <m/>
    <s v="r1"/>
    <m/>
    <s v="r2"/>
    <n v="0"/>
    <s v="b1"/>
    <s v="b3"/>
    <m/>
    <b v="1"/>
    <m/>
    <n v="0"/>
    <n v="2"/>
    <x v="2"/>
    <n v="0"/>
    <n v="1"/>
    <n v="1"/>
    <n v="2"/>
    <x v="4"/>
    <x v="36"/>
    <s v="N"/>
    <s v="N"/>
    <s v="LF"/>
    <s v="CF"/>
    <n v="3"/>
    <m/>
    <m/>
    <m/>
    <m/>
    <m/>
    <m/>
    <n v="3"/>
    <n v="11"/>
    <n v="101"/>
    <n v="4"/>
    <n v="5"/>
    <n v="4"/>
    <n v="5"/>
    <n v="0"/>
    <n v="0"/>
    <n v="0"/>
  </r>
  <r>
    <s v="1_5_SacF"/>
    <x v="4"/>
    <x v="4"/>
    <m/>
    <s v="b4"/>
    <s v="r1"/>
    <m/>
    <m/>
    <n v="0"/>
    <s v="b1"/>
    <m/>
    <s v="b4"/>
    <b v="1"/>
    <m/>
    <n v="1"/>
    <n v="2"/>
    <x v="0"/>
    <n v="1"/>
    <n v="1"/>
    <n v="1"/>
    <n v="2"/>
    <x v="5"/>
    <x v="36"/>
    <s v="N"/>
    <s v="N"/>
    <m/>
    <m/>
    <n v="4"/>
    <m/>
    <m/>
    <m/>
    <m/>
    <m/>
    <m/>
    <n v="4"/>
    <n v="101"/>
    <n v="1"/>
    <n v="5"/>
    <n v="1"/>
    <n v="5"/>
    <n v="1"/>
    <n v="0"/>
    <n v="0"/>
    <n v="0"/>
  </r>
  <r>
    <s v="1_6_SacF"/>
    <x v="4"/>
    <x v="0"/>
    <s v="b2"/>
    <s v="b4"/>
    <m/>
    <s v="r2"/>
    <m/>
    <n v="0"/>
    <m/>
    <s v="b2"/>
    <s v="b4"/>
    <b v="1"/>
    <m/>
    <n v="1"/>
    <n v="2"/>
    <x v="4"/>
    <n v="1"/>
    <n v="1"/>
    <n v="1"/>
    <n v="2"/>
    <x v="6"/>
    <x v="36"/>
    <s v="N"/>
    <s v="N"/>
    <m/>
    <m/>
    <n v="4"/>
    <m/>
    <m/>
    <m/>
    <m/>
    <m/>
    <m/>
    <n v="4"/>
    <n v="110"/>
    <n v="10"/>
    <n v="6"/>
    <n v="2"/>
    <n v="6"/>
    <n v="2"/>
    <n v="0"/>
    <n v="0"/>
    <n v="0"/>
  </r>
  <r>
    <s v="1_7_SacF"/>
    <x v="4"/>
    <x v="4"/>
    <s v="b2"/>
    <s v="b4"/>
    <s v="r1"/>
    <s v="r2"/>
    <m/>
    <n v="0"/>
    <s v="b1"/>
    <s v="b2"/>
    <s v="b4"/>
    <b v="1"/>
    <m/>
    <n v="1"/>
    <n v="2"/>
    <x v="1"/>
    <n v="1"/>
    <n v="1"/>
    <n v="1"/>
    <n v="2"/>
    <x v="7"/>
    <x v="36"/>
    <s v="N"/>
    <s v="N"/>
    <m/>
    <m/>
    <n v="4"/>
    <m/>
    <m/>
    <m/>
    <m/>
    <m/>
    <m/>
    <n v="4"/>
    <n v="111"/>
    <n v="11"/>
    <n v="7"/>
    <n v="4"/>
    <n v="7"/>
    <n v="4"/>
    <n v="0"/>
    <n v="0"/>
    <n v="0"/>
  </r>
  <r>
    <s v="0_1_SB"/>
    <x v="3"/>
    <x v="1"/>
    <m/>
    <m/>
    <m/>
    <s v="r1"/>
    <m/>
    <m/>
    <s v="b2"/>
    <m/>
    <m/>
    <b v="0"/>
    <m/>
    <n v="0"/>
    <n v="0"/>
    <x v="4"/>
    <n v="0"/>
    <n v="0"/>
    <n v="0"/>
    <n v="0"/>
    <x v="1"/>
    <x v="37"/>
    <s v="N"/>
    <s v="N"/>
    <m/>
    <s v="C"/>
    <n v="2"/>
    <m/>
    <m/>
    <m/>
    <m/>
    <m/>
    <m/>
    <m/>
    <n v="1"/>
    <n v="10"/>
    <n v="1"/>
    <n v="2"/>
    <n v="1"/>
    <n v="2"/>
    <n v="0"/>
    <n v="0"/>
    <n v="0"/>
  </r>
  <r>
    <s v="0_5_SB"/>
    <x v="3"/>
    <x v="1"/>
    <m/>
    <s v="b3"/>
    <m/>
    <s v="r1"/>
    <s v="r3"/>
    <m/>
    <s v="b2"/>
    <m/>
    <s v="b3"/>
    <b v="0"/>
    <m/>
    <n v="0"/>
    <n v="0"/>
    <x v="5"/>
    <n v="0"/>
    <n v="0"/>
    <n v="0"/>
    <n v="0"/>
    <x v="5"/>
    <x v="37"/>
    <s v="N"/>
    <s v="N"/>
    <m/>
    <s v="C"/>
    <n v="2"/>
    <m/>
    <m/>
    <m/>
    <m/>
    <m/>
    <m/>
    <m/>
    <n v="101"/>
    <n v="110"/>
    <n v="5"/>
    <n v="6"/>
    <n v="5"/>
    <n v="6"/>
    <n v="0"/>
    <n v="0"/>
    <n v="0"/>
  </r>
  <r>
    <s v="1_1_SB"/>
    <x v="3"/>
    <x v="1"/>
    <m/>
    <m/>
    <m/>
    <s v="r1"/>
    <m/>
    <m/>
    <s v="b2"/>
    <m/>
    <m/>
    <b v="0"/>
    <m/>
    <n v="0"/>
    <n v="1"/>
    <x v="4"/>
    <n v="0"/>
    <n v="1"/>
    <n v="0"/>
    <n v="1"/>
    <x v="1"/>
    <x v="37"/>
    <s v="N"/>
    <s v="N"/>
    <m/>
    <s v="C"/>
    <n v="2"/>
    <m/>
    <m/>
    <m/>
    <m/>
    <m/>
    <m/>
    <m/>
    <n v="1"/>
    <n v="10"/>
    <n v="1"/>
    <n v="2"/>
    <n v="1"/>
    <n v="2"/>
    <n v="0"/>
    <n v="0"/>
    <n v="0"/>
  </r>
  <r>
    <s v="1_5_SB"/>
    <x v="3"/>
    <x v="1"/>
    <m/>
    <s v="b3"/>
    <m/>
    <s v="r1"/>
    <s v="r3"/>
    <m/>
    <s v="b2"/>
    <m/>
    <s v="b3"/>
    <b v="0"/>
    <m/>
    <n v="0"/>
    <n v="1"/>
    <x v="5"/>
    <n v="0"/>
    <n v="1"/>
    <n v="0"/>
    <n v="1"/>
    <x v="5"/>
    <x v="37"/>
    <s v="N"/>
    <s v="N"/>
    <m/>
    <s v="C"/>
    <n v="2"/>
    <m/>
    <m/>
    <m/>
    <m/>
    <m/>
    <m/>
    <m/>
    <n v="101"/>
    <n v="110"/>
    <n v="5"/>
    <n v="6"/>
    <n v="5"/>
    <n v="6"/>
    <n v="0"/>
    <n v="0"/>
    <n v="0"/>
  </r>
  <r>
    <s v="2_1_SB"/>
    <x v="3"/>
    <x v="1"/>
    <m/>
    <m/>
    <m/>
    <s v="r1"/>
    <m/>
    <m/>
    <s v="b2"/>
    <m/>
    <m/>
    <b v="0"/>
    <m/>
    <n v="0"/>
    <n v="2"/>
    <x v="4"/>
    <n v="0"/>
    <n v="2"/>
    <n v="0"/>
    <n v="2"/>
    <x v="1"/>
    <x v="37"/>
    <s v="N"/>
    <s v="N"/>
    <m/>
    <s v="C"/>
    <n v="2"/>
    <m/>
    <m/>
    <m/>
    <m/>
    <m/>
    <m/>
    <m/>
    <n v="1"/>
    <n v="10"/>
    <n v="1"/>
    <n v="2"/>
    <n v="1"/>
    <n v="2"/>
    <n v="0"/>
    <n v="0"/>
    <n v="0"/>
  </r>
  <r>
    <s v="2_5_SB"/>
    <x v="3"/>
    <x v="1"/>
    <m/>
    <s v="b3"/>
    <m/>
    <s v="r1"/>
    <s v="r3"/>
    <m/>
    <s v="b2"/>
    <m/>
    <s v="b3"/>
    <b v="0"/>
    <m/>
    <n v="0"/>
    <n v="2"/>
    <x v="5"/>
    <n v="0"/>
    <n v="2"/>
    <n v="0"/>
    <n v="2"/>
    <x v="5"/>
    <x v="37"/>
    <s v="N"/>
    <s v="N"/>
    <m/>
    <s v="C"/>
    <n v="2"/>
    <m/>
    <m/>
    <m/>
    <m/>
    <m/>
    <m/>
    <m/>
    <n v="101"/>
    <n v="110"/>
    <n v="5"/>
    <n v="6"/>
    <n v="5"/>
    <n v="6"/>
    <n v="0"/>
    <n v="0"/>
    <n v="0"/>
  </r>
  <r>
    <s v="0_1_SB2"/>
    <x v="3"/>
    <x v="1"/>
    <m/>
    <m/>
    <m/>
    <s v="r1"/>
    <m/>
    <m/>
    <s v="b2"/>
    <m/>
    <m/>
    <b v="0"/>
    <m/>
    <n v="0"/>
    <n v="0"/>
    <x v="4"/>
    <n v="0"/>
    <n v="0"/>
    <n v="0"/>
    <n v="0"/>
    <x v="1"/>
    <x v="38"/>
    <s v="N"/>
    <s v="N"/>
    <m/>
    <s v="C"/>
    <n v="2"/>
    <m/>
    <m/>
    <m/>
    <m/>
    <m/>
    <m/>
    <m/>
    <n v="1"/>
    <n v="10"/>
    <n v="1"/>
    <n v="2"/>
    <n v="1"/>
    <n v="2"/>
    <n v="0"/>
    <n v="0"/>
    <n v="0"/>
  </r>
  <r>
    <s v="0_5_SB2"/>
    <x v="3"/>
    <x v="1"/>
    <m/>
    <s v="b3"/>
    <m/>
    <s v="r1"/>
    <s v="r3"/>
    <m/>
    <s v="b2"/>
    <m/>
    <s v="b3"/>
    <b v="0"/>
    <m/>
    <n v="0"/>
    <n v="0"/>
    <x v="5"/>
    <n v="0"/>
    <n v="0"/>
    <n v="0"/>
    <n v="0"/>
    <x v="5"/>
    <x v="38"/>
    <s v="N"/>
    <s v="N"/>
    <m/>
    <s v="C"/>
    <n v="2"/>
    <m/>
    <m/>
    <m/>
    <m/>
    <m/>
    <m/>
    <m/>
    <n v="101"/>
    <n v="110"/>
    <n v="5"/>
    <n v="6"/>
    <n v="5"/>
    <n v="6"/>
    <n v="0"/>
    <n v="0"/>
    <n v="0"/>
  </r>
  <r>
    <s v="1_1_SB2"/>
    <x v="3"/>
    <x v="1"/>
    <m/>
    <m/>
    <m/>
    <s v="r1"/>
    <m/>
    <m/>
    <s v="b2"/>
    <m/>
    <m/>
    <b v="0"/>
    <m/>
    <n v="0"/>
    <n v="1"/>
    <x v="4"/>
    <n v="0"/>
    <n v="1"/>
    <n v="0"/>
    <n v="1"/>
    <x v="1"/>
    <x v="38"/>
    <s v="N"/>
    <s v="N"/>
    <m/>
    <s v="C"/>
    <n v="2"/>
    <m/>
    <m/>
    <m/>
    <m/>
    <m/>
    <m/>
    <m/>
    <n v="1"/>
    <n v="10"/>
    <n v="1"/>
    <n v="2"/>
    <n v="1"/>
    <n v="2"/>
    <n v="0"/>
    <n v="0"/>
    <n v="0"/>
  </r>
  <r>
    <s v="1_5_SB2"/>
    <x v="3"/>
    <x v="1"/>
    <m/>
    <s v="b3"/>
    <m/>
    <s v="r1"/>
    <s v="r3"/>
    <m/>
    <s v="b2"/>
    <m/>
    <s v="b3"/>
    <b v="0"/>
    <m/>
    <n v="0"/>
    <n v="1"/>
    <x v="5"/>
    <n v="0"/>
    <n v="1"/>
    <n v="0"/>
    <n v="1"/>
    <x v="5"/>
    <x v="38"/>
    <s v="N"/>
    <s v="N"/>
    <m/>
    <s v="C"/>
    <n v="2"/>
    <m/>
    <m/>
    <m/>
    <m/>
    <m/>
    <m/>
    <m/>
    <n v="101"/>
    <n v="110"/>
    <n v="5"/>
    <n v="6"/>
    <n v="5"/>
    <n v="6"/>
    <n v="0"/>
    <n v="0"/>
    <n v="0"/>
  </r>
  <r>
    <s v="2_1_SB2"/>
    <x v="3"/>
    <x v="1"/>
    <m/>
    <m/>
    <m/>
    <s v="r1"/>
    <m/>
    <m/>
    <s v="b2"/>
    <m/>
    <m/>
    <b v="0"/>
    <m/>
    <n v="0"/>
    <n v="2"/>
    <x v="4"/>
    <n v="0"/>
    <n v="2"/>
    <n v="0"/>
    <n v="2"/>
    <x v="1"/>
    <x v="38"/>
    <s v="N"/>
    <s v="N"/>
    <m/>
    <s v="C"/>
    <n v="2"/>
    <m/>
    <m/>
    <m/>
    <m/>
    <m/>
    <m/>
    <m/>
    <n v="1"/>
    <n v="10"/>
    <n v="1"/>
    <n v="2"/>
    <n v="1"/>
    <n v="2"/>
    <n v="0"/>
    <n v="0"/>
    <n v="0"/>
  </r>
  <r>
    <s v="2_5_SB2"/>
    <x v="3"/>
    <x v="1"/>
    <m/>
    <s v="b3"/>
    <m/>
    <s v="r1"/>
    <s v="r3"/>
    <m/>
    <s v="b2"/>
    <m/>
    <s v="b3"/>
    <b v="0"/>
    <m/>
    <n v="0"/>
    <n v="2"/>
    <x v="5"/>
    <n v="0"/>
    <n v="2"/>
    <n v="0"/>
    <n v="2"/>
    <x v="5"/>
    <x v="38"/>
    <s v="N"/>
    <s v="N"/>
    <m/>
    <s v="C"/>
    <n v="2"/>
    <m/>
    <m/>
    <m/>
    <m/>
    <m/>
    <m/>
    <m/>
    <n v="101"/>
    <n v="110"/>
    <n v="5"/>
    <n v="6"/>
    <n v="5"/>
    <n v="6"/>
    <n v="0"/>
    <n v="0"/>
    <n v="0"/>
  </r>
  <r>
    <s v="0_2_SB3"/>
    <x v="3"/>
    <x v="0"/>
    <s v="b3"/>
    <m/>
    <m/>
    <m/>
    <s v="r2"/>
    <m/>
    <m/>
    <s v="b3"/>
    <m/>
    <b v="0"/>
    <m/>
    <n v="0"/>
    <n v="0"/>
    <x v="6"/>
    <n v="0"/>
    <n v="0"/>
    <n v="0"/>
    <n v="0"/>
    <x v="2"/>
    <x v="39"/>
    <s v="N"/>
    <s v="N"/>
    <m/>
    <s v="C"/>
    <n v="3"/>
    <m/>
    <m/>
    <m/>
    <m/>
    <m/>
    <m/>
    <m/>
    <n v="10"/>
    <n v="100"/>
    <n v="2"/>
    <n v="3"/>
    <n v="2"/>
    <n v="3"/>
    <n v="0"/>
    <n v="0"/>
    <n v="0"/>
  </r>
  <r>
    <s v="0_4_SB3"/>
    <x v="3"/>
    <x v="4"/>
    <s v="b3"/>
    <m/>
    <s v="r1"/>
    <m/>
    <s v="r2"/>
    <m/>
    <s v="b1"/>
    <s v="b3"/>
    <m/>
    <b v="0"/>
    <m/>
    <n v="0"/>
    <n v="0"/>
    <x v="2"/>
    <n v="0"/>
    <n v="0"/>
    <n v="0"/>
    <n v="0"/>
    <x v="4"/>
    <x v="39"/>
    <s v="N"/>
    <s v="N"/>
    <m/>
    <s v="C"/>
    <n v="3"/>
    <m/>
    <m/>
    <m/>
    <m/>
    <m/>
    <m/>
    <m/>
    <n v="11"/>
    <n v="101"/>
    <n v="4"/>
    <n v="5"/>
    <n v="4"/>
    <n v="5"/>
    <n v="0"/>
    <n v="0"/>
    <n v="0"/>
  </r>
  <r>
    <s v="1_2_SB3"/>
    <x v="3"/>
    <x v="0"/>
    <s v="b3"/>
    <m/>
    <m/>
    <m/>
    <s v="r2"/>
    <m/>
    <m/>
    <s v="b3"/>
    <m/>
    <b v="0"/>
    <m/>
    <n v="0"/>
    <n v="1"/>
    <x v="6"/>
    <n v="0"/>
    <n v="1"/>
    <n v="0"/>
    <n v="1"/>
    <x v="2"/>
    <x v="39"/>
    <s v="N"/>
    <s v="N"/>
    <m/>
    <s v="C"/>
    <n v="3"/>
    <m/>
    <m/>
    <m/>
    <m/>
    <m/>
    <m/>
    <m/>
    <n v="10"/>
    <n v="100"/>
    <n v="2"/>
    <n v="3"/>
    <n v="2"/>
    <n v="3"/>
    <n v="0"/>
    <n v="0"/>
    <n v="0"/>
  </r>
  <r>
    <s v="1_4_SB3"/>
    <x v="3"/>
    <x v="4"/>
    <s v="b3"/>
    <m/>
    <s v="r1"/>
    <m/>
    <s v="r2"/>
    <m/>
    <s v="b1"/>
    <s v="b3"/>
    <m/>
    <b v="0"/>
    <m/>
    <n v="0"/>
    <n v="1"/>
    <x v="2"/>
    <n v="0"/>
    <n v="1"/>
    <n v="0"/>
    <n v="1"/>
    <x v="4"/>
    <x v="39"/>
    <s v="N"/>
    <s v="N"/>
    <m/>
    <s v="C"/>
    <n v="3"/>
    <m/>
    <m/>
    <m/>
    <m/>
    <m/>
    <m/>
    <m/>
    <n v="11"/>
    <n v="101"/>
    <n v="4"/>
    <n v="5"/>
    <n v="4"/>
    <n v="5"/>
    <n v="0"/>
    <n v="0"/>
    <n v="0"/>
  </r>
  <r>
    <s v="2_2_SB3"/>
    <x v="3"/>
    <x v="0"/>
    <s v="b3"/>
    <m/>
    <m/>
    <m/>
    <s v="r2"/>
    <m/>
    <m/>
    <s v="b3"/>
    <m/>
    <b v="0"/>
    <m/>
    <n v="0"/>
    <n v="2"/>
    <x v="6"/>
    <n v="0"/>
    <n v="2"/>
    <n v="0"/>
    <n v="2"/>
    <x v="2"/>
    <x v="39"/>
    <s v="N"/>
    <s v="N"/>
    <m/>
    <s v="C"/>
    <n v="3"/>
    <m/>
    <m/>
    <m/>
    <m/>
    <m/>
    <m/>
    <m/>
    <n v="10"/>
    <n v="100"/>
    <n v="2"/>
    <n v="3"/>
    <n v="2"/>
    <n v="3"/>
    <n v="0"/>
    <n v="0"/>
    <n v="0"/>
  </r>
  <r>
    <s v="2_4_SB3"/>
    <x v="3"/>
    <x v="1"/>
    <s v="b3"/>
    <m/>
    <m/>
    <s v="r1"/>
    <s v="r2"/>
    <m/>
    <s v="b2"/>
    <s v="b3"/>
    <m/>
    <b v="0"/>
    <m/>
    <n v="0"/>
    <n v="2"/>
    <x v="5"/>
    <n v="0"/>
    <n v="2"/>
    <n v="0"/>
    <n v="2"/>
    <x v="4"/>
    <x v="39"/>
    <s v="N"/>
    <s v="N"/>
    <m/>
    <s v="C"/>
    <n v="3"/>
    <m/>
    <m/>
    <m/>
    <m/>
    <m/>
    <m/>
    <m/>
    <n v="11"/>
    <n v="110"/>
    <n v="4"/>
    <n v="6"/>
    <n v="4"/>
    <n v="6"/>
    <n v="0"/>
    <n v="0"/>
    <n v="0"/>
  </r>
  <r>
    <s v="0_4_SB32"/>
    <x v="3"/>
    <x v="1"/>
    <s v="b3"/>
    <m/>
    <m/>
    <s v="r1"/>
    <s v="r2"/>
    <m/>
    <s v="b2"/>
    <s v="b3"/>
    <m/>
    <b v="0"/>
    <m/>
    <n v="0"/>
    <n v="0"/>
    <x v="5"/>
    <n v="0"/>
    <n v="0"/>
    <n v="0"/>
    <n v="0"/>
    <x v="4"/>
    <x v="40"/>
    <s v="N"/>
    <s v="N"/>
    <m/>
    <s v="C"/>
    <n v="3"/>
    <m/>
    <m/>
    <m/>
    <m/>
    <m/>
    <m/>
    <m/>
    <n v="11"/>
    <n v="110"/>
    <n v="4"/>
    <n v="6"/>
    <n v="4"/>
    <n v="6"/>
    <n v="0"/>
    <n v="0"/>
    <n v="0"/>
  </r>
  <r>
    <s v="1_4_SB32"/>
    <x v="3"/>
    <x v="1"/>
    <s v="b3"/>
    <m/>
    <m/>
    <s v="r1"/>
    <s v="r2"/>
    <m/>
    <s v="b2"/>
    <s v="b3"/>
    <m/>
    <b v="0"/>
    <m/>
    <n v="0"/>
    <n v="1"/>
    <x v="5"/>
    <n v="0"/>
    <n v="1"/>
    <n v="0"/>
    <n v="1"/>
    <x v="4"/>
    <x v="40"/>
    <s v="N"/>
    <s v="N"/>
    <m/>
    <s v="C"/>
    <n v="3"/>
    <m/>
    <m/>
    <m/>
    <m/>
    <m/>
    <m/>
    <m/>
    <n v="11"/>
    <n v="110"/>
    <n v="4"/>
    <n v="6"/>
    <n v="4"/>
    <n v="6"/>
    <n v="0"/>
    <n v="0"/>
    <n v="0"/>
  </r>
  <r>
    <s v="2_4_SB32"/>
    <x v="3"/>
    <x v="1"/>
    <s v="b3"/>
    <m/>
    <m/>
    <s v="r1"/>
    <s v="r2"/>
    <m/>
    <s v="b2"/>
    <s v="b3"/>
    <m/>
    <b v="0"/>
    <m/>
    <n v="0"/>
    <n v="2"/>
    <x v="5"/>
    <n v="0"/>
    <n v="2"/>
    <n v="0"/>
    <n v="2"/>
    <x v="4"/>
    <x v="40"/>
    <s v="N"/>
    <s v="N"/>
    <m/>
    <s v="C"/>
    <n v="3"/>
    <m/>
    <m/>
    <m/>
    <m/>
    <m/>
    <m/>
    <m/>
    <n v="11"/>
    <n v="110"/>
    <n v="4"/>
    <n v="6"/>
    <n v="4"/>
    <n v="6"/>
    <n v="0"/>
    <n v="0"/>
    <n v="0"/>
  </r>
  <r>
    <s v="0_3_SB4"/>
    <x v="3"/>
    <x v="0"/>
    <m/>
    <s v="b4"/>
    <m/>
    <m/>
    <m/>
    <m/>
    <m/>
    <m/>
    <s v="b4"/>
    <b v="0"/>
    <m/>
    <n v="1"/>
    <n v="0"/>
    <x v="7"/>
    <n v="1"/>
    <n v="0"/>
    <n v="0"/>
    <n v="0"/>
    <x v="3"/>
    <x v="41"/>
    <s v="N"/>
    <s v="N"/>
    <s v="C"/>
    <s v="P"/>
    <n v="4"/>
    <m/>
    <m/>
    <m/>
    <m/>
    <m/>
    <m/>
    <m/>
    <n v="100"/>
    <n v="0"/>
    <n v="3"/>
    <n v="0"/>
    <n v="3"/>
    <n v="0"/>
    <n v="0"/>
    <n v="0"/>
    <n v="0"/>
  </r>
  <r>
    <s v="0_5_SB4"/>
    <x v="3"/>
    <x v="4"/>
    <m/>
    <s v="b4"/>
    <s v="r1"/>
    <m/>
    <m/>
    <m/>
    <s v="b1"/>
    <m/>
    <s v="b4"/>
    <b v="0"/>
    <m/>
    <n v="1"/>
    <n v="0"/>
    <x v="0"/>
    <n v="1"/>
    <n v="0"/>
    <n v="0"/>
    <n v="0"/>
    <x v="5"/>
    <x v="41"/>
    <s v="N"/>
    <s v="N"/>
    <s v="C"/>
    <s v="P"/>
    <n v="4"/>
    <m/>
    <m/>
    <m/>
    <m/>
    <m/>
    <m/>
    <m/>
    <n v="101"/>
    <n v="1"/>
    <n v="5"/>
    <n v="1"/>
    <n v="5"/>
    <n v="1"/>
    <n v="0"/>
    <n v="0"/>
    <n v="0"/>
  </r>
  <r>
    <s v="0_6_SB4"/>
    <x v="3"/>
    <x v="0"/>
    <s v="b2"/>
    <s v="b4"/>
    <m/>
    <s v="r2"/>
    <m/>
    <m/>
    <m/>
    <s v="b2"/>
    <s v="b4"/>
    <b v="0"/>
    <m/>
    <n v="1"/>
    <n v="0"/>
    <x v="4"/>
    <n v="1"/>
    <n v="0"/>
    <n v="0"/>
    <n v="0"/>
    <x v="6"/>
    <x v="41"/>
    <s v="N"/>
    <s v="N"/>
    <s v="C"/>
    <s v="P"/>
    <n v="4"/>
    <m/>
    <m/>
    <m/>
    <m/>
    <m/>
    <m/>
    <m/>
    <n v="110"/>
    <n v="10"/>
    <n v="6"/>
    <n v="2"/>
    <n v="6"/>
    <n v="2"/>
    <n v="0"/>
    <n v="0"/>
    <n v="0"/>
  </r>
  <r>
    <s v="0_7_SB4"/>
    <x v="3"/>
    <x v="4"/>
    <s v="b2"/>
    <s v="b4"/>
    <s v="r1"/>
    <s v="r2"/>
    <m/>
    <m/>
    <s v="b1"/>
    <s v="b2"/>
    <s v="b4"/>
    <b v="0"/>
    <m/>
    <n v="1"/>
    <n v="0"/>
    <x v="1"/>
    <n v="1"/>
    <n v="0"/>
    <n v="0"/>
    <n v="0"/>
    <x v="7"/>
    <x v="41"/>
    <s v="N"/>
    <s v="N"/>
    <s v="C"/>
    <s v="P"/>
    <n v="4"/>
    <m/>
    <m/>
    <m/>
    <m/>
    <m/>
    <m/>
    <m/>
    <n v="111"/>
    <n v="11"/>
    <n v="7"/>
    <n v="4"/>
    <n v="7"/>
    <n v="4"/>
    <n v="0"/>
    <n v="0"/>
    <n v="0"/>
  </r>
  <r>
    <s v="1_3_SB4"/>
    <x v="3"/>
    <x v="0"/>
    <m/>
    <s v="b4"/>
    <m/>
    <m/>
    <m/>
    <m/>
    <m/>
    <m/>
    <s v="b4"/>
    <b v="0"/>
    <m/>
    <n v="1"/>
    <n v="1"/>
    <x v="7"/>
    <n v="1"/>
    <n v="1"/>
    <n v="0"/>
    <n v="1"/>
    <x v="3"/>
    <x v="41"/>
    <s v="N"/>
    <s v="N"/>
    <s v="C"/>
    <s v="P"/>
    <n v="4"/>
    <m/>
    <m/>
    <m/>
    <m/>
    <m/>
    <m/>
    <m/>
    <n v="100"/>
    <n v="0"/>
    <n v="3"/>
    <n v="0"/>
    <n v="3"/>
    <n v="0"/>
    <n v="0"/>
    <n v="0"/>
    <n v="0"/>
  </r>
  <r>
    <s v="1_5_SB4"/>
    <x v="3"/>
    <x v="4"/>
    <m/>
    <s v="b4"/>
    <s v="r1"/>
    <m/>
    <m/>
    <m/>
    <s v="b1"/>
    <m/>
    <s v="b4"/>
    <b v="0"/>
    <m/>
    <n v="1"/>
    <n v="1"/>
    <x v="0"/>
    <n v="1"/>
    <n v="1"/>
    <n v="0"/>
    <n v="1"/>
    <x v="5"/>
    <x v="41"/>
    <s v="N"/>
    <s v="N"/>
    <s v="C"/>
    <s v="P"/>
    <n v="4"/>
    <m/>
    <m/>
    <m/>
    <m/>
    <m/>
    <m/>
    <m/>
    <n v="101"/>
    <n v="1"/>
    <n v="5"/>
    <n v="1"/>
    <n v="5"/>
    <n v="1"/>
    <n v="0"/>
    <n v="0"/>
    <n v="0"/>
  </r>
  <r>
    <s v="1_6_SB4"/>
    <x v="3"/>
    <x v="0"/>
    <s v="b2"/>
    <s v="b4"/>
    <m/>
    <s v="r2"/>
    <m/>
    <m/>
    <m/>
    <s v="b2"/>
    <s v="b4"/>
    <b v="0"/>
    <m/>
    <n v="1"/>
    <n v="1"/>
    <x v="4"/>
    <n v="1"/>
    <n v="1"/>
    <n v="0"/>
    <n v="1"/>
    <x v="6"/>
    <x v="41"/>
    <s v="N"/>
    <s v="N"/>
    <s v="C"/>
    <s v="P"/>
    <n v="4"/>
    <m/>
    <m/>
    <m/>
    <m/>
    <m/>
    <m/>
    <m/>
    <n v="110"/>
    <n v="10"/>
    <n v="6"/>
    <n v="2"/>
    <n v="6"/>
    <n v="2"/>
    <n v="0"/>
    <n v="0"/>
    <n v="0"/>
  </r>
  <r>
    <s v="1_7_SB4"/>
    <x v="3"/>
    <x v="4"/>
    <s v="b2"/>
    <s v="b4"/>
    <s v="r1"/>
    <s v="r2"/>
    <m/>
    <m/>
    <s v="b1"/>
    <s v="b2"/>
    <s v="b4"/>
    <b v="0"/>
    <m/>
    <n v="1"/>
    <n v="1"/>
    <x v="1"/>
    <n v="1"/>
    <n v="1"/>
    <n v="0"/>
    <n v="1"/>
    <x v="7"/>
    <x v="41"/>
    <s v="N"/>
    <s v="N"/>
    <s v="C"/>
    <s v="P"/>
    <n v="4"/>
    <m/>
    <m/>
    <m/>
    <m/>
    <m/>
    <m/>
    <m/>
    <n v="111"/>
    <n v="11"/>
    <n v="7"/>
    <n v="4"/>
    <n v="7"/>
    <n v="4"/>
    <n v="0"/>
    <n v="0"/>
    <n v="0"/>
  </r>
  <r>
    <s v="2_3_SB4"/>
    <x v="3"/>
    <x v="0"/>
    <m/>
    <s v="b4"/>
    <m/>
    <m/>
    <m/>
    <m/>
    <m/>
    <m/>
    <s v="b4"/>
    <b v="0"/>
    <m/>
    <n v="1"/>
    <n v="2"/>
    <x v="7"/>
    <n v="1"/>
    <n v="2"/>
    <n v="0"/>
    <n v="2"/>
    <x v="3"/>
    <x v="41"/>
    <s v="N"/>
    <s v="N"/>
    <s v="C"/>
    <s v="P"/>
    <n v="4"/>
    <m/>
    <m/>
    <m/>
    <m/>
    <m/>
    <m/>
    <m/>
    <n v="100"/>
    <n v="0"/>
    <n v="3"/>
    <n v="0"/>
    <n v="3"/>
    <n v="0"/>
    <n v="0"/>
    <n v="0"/>
    <n v="0"/>
  </r>
  <r>
    <s v="2_5_SB4"/>
    <x v="3"/>
    <x v="1"/>
    <m/>
    <s v="b4"/>
    <m/>
    <s v="r1"/>
    <m/>
    <m/>
    <s v="b2"/>
    <m/>
    <s v="b4"/>
    <b v="0"/>
    <m/>
    <n v="1"/>
    <n v="2"/>
    <x v="4"/>
    <n v="1"/>
    <n v="2"/>
    <n v="0"/>
    <n v="2"/>
    <x v="5"/>
    <x v="41"/>
    <s v="N"/>
    <s v="N"/>
    <s v="C"/>
    <s v="P"/>
    <n v="4"/>
    <m/>
    <m/>
    <m/>
    <m/>
    <m/>
    <m/>
    <m/>
    <n v="101"/>
    <n v="10"/>
    <n v="5"/>
    <n v="2"/>
    <n v="5"/>
    <n v="2"/>
    <n v="0"/>
    <n v="0"/>
    <n v="0"/>
  </r>
  <r>
    <s v="2_6_SB4"/>
    <x v="3"/>
    <x v="0"/>
    <s v="b3"/>
    <s v="b4"/>
    <m/>
    <m/>
    <s v="r2"/>
    <m/>
    <m/>
    <s v="b3"/>
    <s v="b4"/>
    <b v="0"/>
    <m/>
    <n v="1"/>
    <n v="2"/>
    <x v="6"/>
    <n v="1"/>
    <n v="2"/>
    <n v="0"/>
    <n v="2"/>
    <x v="6"/>
    <x v="41"/>
    <s v="N"/>
    <s v="N"/>
    <s v="C"/>
    <s v="P"/>
    <n v="4"/>
    <m/>
    <m/>
    <m/>
    <m/>
    <m/>
    <m/>
    <m/>
    <n v="110"/>
    <n v="100"/>
    <n v="6"/>
    <n v="3"/>
    <n v="6"/>
    <n v="3"/>
    <n v="0"/>
    <n v="0"/>
    <n v="0"/>
  </r>
  <r>
    <s v="2_7_SB4"/>
    <x v="3"/>
    <x v="1"/>
    <s v="b3"/>
    <s v="b4"/>
    <m/>
    <s v="r1"/>
    <s v="r2"/>
    <m/>
    <s v="b2"/>
    <s v="b3"/>
    <s v="b4"/>
    <b v="0"/>
    <m/>
    <n v="1"/>
    <n v="2"/>
    <x v="5"/>
    <n v="1"/>
    <n v="2"/>
    <n v="0"/>
    <n v="2"/>
    <x v="7"/>
    <x v="41"/>
    <s v="N"/>
    <s v="N"/>
    <s v="C"/>
    <s v="P"/>
    <n v="4"/>
    <m/>
    <m/>
    <m/>
    <m/>
    <m/>
    <m/>
    <m/>
    <n v="111"/>
    <n v="110"/>
    <n v="7"/>
    <n v="6"/>
    <n v="7"/>
    <n v="6"/>
    <n v="0"/>
    <n v="0"/>
    <n v="0"/>
  </r>
  <r>
    <s v="0_5_SB42"/>
    <x v="3"/>
    <x v="1"/>
    <m/>
    <s v="b4"/>
    <m/>
    <s v="r1"/>
    <m/>
    <m/>
    <s v="b2"/>
    <m/>
    <s v="b4"/>
    <b v="0"/>
    <m/>
    <n v="1"/>
    <n v="0"/>
    <x v="4"/>
    <n v="1"/>
    <n v="0"/>
    <n v="0"/>
    <n v="0"/>
    <x v="5"/>
    <x v="42"/>
    <s v="N"/>
    <s v="N"/>
    <s v="C"/>
    <s v="P"/>
    <n v="4"/>
    <m/>
    <m/>
    <m/>
    <m/>
    <m/>
    <m/>
    <m/>
    <n v="101"/>
    <n v="10"/>
    <n v="5"/>
    <n v="2"/>
    <n v="5"/>
    <n v="2"/>
    <n v="0"/>
    <n v="0"/>
    <n v="0"/>
  </r>
  <r>
    <s v="1_5_SB42"/>
    <x v="3"/>
    <x v="1"/>
    <m/>
    <s v="b4"/>
    <m/>
    <s v="r1"/>
    <m/>
    <m/>
    <s v="b2"/>
    <m/>
    <s v="b4"/>
    <b v="0"/>
    <m/>
    <n v="1"/>
    <n v="1"/>
    <x v="4"/>
    <n v="1"/>
    <n v="1"/>
    <n v="0"/>
    <n v="1"/>
    <x v="5"/>
    <x v="42"/>
    <s v="N"/>
    <s v="N"/>
    <s v="C"/>
    <s v="P"/>
    <n v="4"/>
    <m/>
    <m/>
    <m/>
    <m/>
    <m/>
    <m/>
    <m/>
    <n v="101"/>
    <n v="10"/>
    <n v="5"/>
    <n v="2"/>
    <n v="5"/>
    <n v="2"/>
    <n v="0"/>
    <n v="0"/>
    <n v="0"/>
  </r>
  <r>
    <s v="2_5_SB42"/>
    <x v="3"/>
    <x v="1"/>
    <m/>
    <s v="b4"/>
    <m/>
    <s v="r1"/>
    <m/>
    <m/>
    <s v="b2"/>
    <m/>
    <s v="b4"/>
    <b v="0"/>
    <m/>
    <n v="1"/>
    <n v="2"/>
    <x v="4"/>
    <n v="1"/>
    <n v="2"/>
    <n v="0"/>
    <n v="2"/>
    <x v="5"/>
    <x v="42"/>
    <s v="N"/>
    <s v="N"/>
    <s v="C"/>
    <s v="P"/>
    <n v="4"/>
    <m/>
    <m/>
    <m/>
    <m/>
    <m/>
    <m/>
    <m/>
    <n v="101"/>
    <n v="10"/>
    <n v="5"/>
    <n v="2"/>
    <n v="5"/>
    <n v="2"/>
    <n v="0"/>
    <n v="0"/>
    <n v="0"/>
  </r>
  <r>
    <s v="0_6_SB43"/>
    <x v="3"/>
    <x v="0"/>
    <s v="b3"/>
    <s v="b4"/>
    <m/>
    <m/>
    <s v="r2"/>
    <m/>
    <m/>
    <s v="b3"/>
    <s v="b4"/>
    <b v="0"/>
    <m/>
    <n v="1"/>
    <n v="0"/>
    <x v="6"/>
    <n v="1"/>
    <n v="0"/>
    <n v="0"/>
    <n v="0"/>
    <x v="6"/>
    <x v="43"/>
    <s v="N"/>
    <s v="N"/>
    <s v="C"/>
    <s v="P"/>
    <n v="4"/>
    <m/>
    <m/>
    <m/>
    <m/>
    <m/>
    <m/>
    <m/>
    <n v="110"/>
    <n v="100"/>
    <n v="6"/>
    <n v="3"/>
    <n v="6"/>
    <n v="3"/>
    <n v="0"/>
    <n v="0"/>
    <n v="0"/>
  </r>
  <r>
    <s v="0_7_SB43"/>
    <x v="3"/>
    <x v="4"/>
    <s v="b3"/>
    <s v="b4"/>
    <s v="r1"/>
    <m/>
    <s v="r2"/>
    <m/>
    <s v="b1"/>
    <s v="b3"/>
    <s v="b4"/>
    <b v="0"/>
    <m/>
    <n v="1"/>
    <n v="0"/>
    <x v="2"/>
    <n v="1"/>
    <n v="0"/>
    <n v="0"/>
    <n v="0"/>
    <x v="7"/>
    <x v="43"/>
    <s v="N"/>
    <s v="N"/>
    <s v="C"/>
    <s v="P"/>
    <n v="4"/>
    <m/>
    <m/>
    <m/>
    <m/>
    <m/>
    <m/>
    <m/>
    <n v="111"/>
    <n v="101"/>
    <n v="7"/>
    <n v="5"/>
    <n v="7"/>
    <n v="5"/>
    <n v="0"/>
    <n v="0"/>
    <n v="0"/>
  </r>
  <r>
    <s v="1_6_SB43"/>
    <x v="3"/>
    <x v="0"/>
    <s v="b3"/>
    <s v="b4"/>
    <m/>
    <m/>
    <s v="r2"/>
    <m/>
    <m/>
    <s v="b3"/>
    <s v="b4"/>
    <b v="0"/>
    <m/>
    <n v="1"/>
    <n v="1"/>
    <x v="6"/>
    <n v="1"/>
    <n v="1"/>
    <n v="0"/>
    <n v="1"/>
    <x v="6"/>
    <x v="43"/>
    <s v="N"/>
    <s v="N"/>
    <s v="C"/>
    <s v="P"/>
    <n v="4"/>
    <m/>
    <m/>
    <m/>
    <m/>
    <m/>
    <m/>
    <m/>
    <n v="110"/>
    <n v="100"/>
    <n v="6"/>
    <n v="3"/>
    <n v="6"/>
    <n v="3"/>
    <n v="0"/>
    <n v="0"/>
    <n v="0"/>
  </r>
  <r>
    <s v="1_7_SB43"/>
    <x v="3"/>
    <x v="4"/>
    <s v="b3"/>
    <s v="b4"/>
    <s v="r1"/>
    <m/>
    <s v="r2"/>
    <m/>
    <s v="b1"/>
    <s v="b3"/>
    <s v="b4"/>
    <b v="0"/>
    <m/>
    <n v="1"/>
    <n v="1"/>
    <x v="2"/>
    <n v="1"/>
    <n v="1"/>
    <n v="0"/>
    <n v="1"/>
    <x v="7"/>
    <x v="43"/>
    <s v="N"/>
    <s v="N"/>
    <s v="C"/>
    <s v="P"/>
    <n v="4"/>
    <m/>
    <m/>
    <m/>
    <m/>
    <m/>
    <m/>
    <m/>
    <n v="111"/>
    <n v="101"/>
    <n v="7"/>
    <n v="5"/>
    <n v="7"/>
    <n v="5"/>
    <n v="0"/>
    <n v="0"/>
    <n v="0"/>
  </r>
  <r>
    <s v="2_6_SB43"/>
    <x v="3"/>
    <x v="0"/>
    <s v="b3"/>
    <s v="b4"/>
    <m/>
    <m/>
    <s v="r2"/>
    <m/>
    <m/>
    <s v="b3"/>
    <s v="b4"/>
    <b v="0"/>
    <m/>
    <n v="1"/>
    <n v="2"/>
    <x v="6"/>
    <n v="1"/>
    <n v="2"/>
    <n v="0"/>
    <n v="2"/>
    <x v="6"/>
    <x v="43"/>
    <s v="N"/>
    <s v="N"/>
    <s v="C"/>
    <s v="P"/>
    <n v="4"/>
    <m/>
    <m/>
    <m/>
    <m/>
    <m/>
    <m/>
    <m/>
    <n v="110"/>
    <n v="100"/>
    <n v="6"/>
    <n v="3"/>
    <n v="6"/>
    <n v="3"/>
    <n v="0"/>
    <n v="0"/>
    <n v="0"/>
  </r>
  <r>
    <s v="2_7_SB43"/>
    <x v="3"/>
    <x v="4"/>
    <s v="b3"/>
    <s v="b4"/>
    <s v="r1"/>
    <m/>
    <s v="r2"/>
    <m/>
    <s v="b1"/>
    <s v="b3"/>
    <s v="b4"/>
    <b v="0"/>
    <m/>
    <n v="1"/>
    <n v="2"/>
    <x v="2"/>
    <n v="1"/>
    <n v="2"/>
    <n v="0"/>
    <n v="2"/>
    <x v="7"/>
    <x v="43"/>
    <s v="N"/>
    <s v="N"/>
    <s v="C"/>
    <s v="P"/>
    <n v="4"/>
    <m/>
    <m/>
    <m/>
    <m/>
    <m/>
    <m/>
    <m/>
    <n v="111"/>
    <n v="101"/>
    <n v="7"/>
    <n v="5"/>
    <n v="7"/>
    <n v="5"/>
    <n v="0"/>
    <n v="0"/>
    <n v="0"/>
  </r>
  <r>
    <s v="0_7_SB432"/>
    <x v="3"/>
    <x v="1"/>
    <s v="b3"/>
    <s v="b4"/>
    <m/>
    <s v="r1"/>
    <s v="r2"/>
    <m/>
    <s v="b2"/>
    <s v="b3"/>
    <s v="b4"/>
    <b v="0"/>
    <m/>
    <n v="1"/>
    <n v="0"/>
    <x v="5"/>
    <n v="1"/>
    <n v="0"/>
    <n v="0"/>
    <n v="0"/>
    <x v="7"/>
    <x v="44"/>
    <s v="N"/>
    <s v="N"/>
    <s v="C"/>
    <s v="P"/>
    <n v="4"/>
    <m/>
    <m/>
    <m/>
    <m/>
    <m/>
    <m/>
    <m/>
    <n v="111"/>
    <n v="110"/>
    <n v="7"/>
    <n v="6"/>
    <n v="7"/>
    <n v="6"/>
    <n v="0"/>
    <n v="0"/>
    <n v="0"/>
  </r>
  <r>
    <s v="1_7_SB432"/>
    <x v="3"/>
    <x v="1"/>
    <s v="b3"/>
    <s v="b4"/>
    <m/>
    <s v="r1"/>
    <s v="r2"/>
    <m/>
    <s v="b2"/>
    <s v="b3"/>
    <s v="b4"/>
    <b v="0"/>
    <m/>
    <n v="1"/>
    <n v="1"/>
    <x v="5"/>
    <n v="1"/>
    <n v="1"/>
    <n v="0"/>
    <n v="1"/>
    <x v="7"/>
    <x v="44"/>
    <s v="N"/>
    <s v="N"/>
    <s v="C"/>
    <s v="P"/>
    <n v="4"/>
    <m/>
    <m/>
    <m/>
    <m/>
    <m/>
    <m/>
    <m/>
    <n v="111"/>
    <n v="110"/>
    <n v="7"/>
    <n v="6"/>
    <n v="7"/>
    <n v="6"/>
    <n v="0"/>
    <n v="0"/>
    <n v="0"/>
  </r>
  <r>
    <s v="2_7_SB432"/>
    <x v="3"/>
    <x v="1"/>
    <s v="b3"/>
    <s v="b4"/>
    <m/>
    <s v="r1"/>
    <s v="r2"/>
    <m/>
    <s v="b2"/>
    <s v="b3"/>
    <s v="b4"/>
    <b v="0"/>
    <m/>
    <n v="1"/>
    <n v="2"/>
    <x v="5"/>
    <n v="1"/>
    <n v="2"/>
    <n v="0"/>
    <n v="2"/>
    <x v="7"/>
    <x v="44"/>
    <s v="N"/>
    <s v="N"/>
    <s v="C"/>
    <s v="P"/>
    <n v="4"/>
    <m/>
    <m/>
    <m/>
    <m/>
    <m/>
    <m/>
    <m/>
    <n v="111"/>
    <n v="110"/>
    <n v="7"/>
    <n v="6"/>
    <n v="7"/>
    <n v="6"/>
    <n v="0"/>
    <n v="0"/>
    <n v="0"/>
  </r>
  <r>
    <s v="0_4_TP"/>
    <x v="4"/>
    <x v="5"/>
    <n v="0"/>
    <m/>
    <m/>
    <m/>
    <m/>
    <n v="0"/>
    <n v="0"/>
    <n v="0"/>
    <m/>
    <b v="0"/>
    <m/>
    <n v="0"/>
    <n v="3"/>
    <x v="7"/>
    <n v="0"/>
    <n v="0"/>
    <n v="3"/>
    <n v="3"/>
    <x v="4"/>
    <x v="45"/>
    <s v="Y"/>
    <s v="N"/>
    <s v="SS,2B,1B,P"/>
    <s v="3B"/>
    <s v="3,2,1"/>
    <s v="3,2,1"/>
    <s v="3,2,1"/>
    <s v="3,2,1"/>
    <s v="3,2,1"/>
    <s v="3,2,1"/>
    <s v="3,2,1"/>
    <m/>
    <n v="11"/>
    <n v="0"/>
    <n v="4"/>
    <n v="0"/>
    <n v="4"/>
    <n v="0"/>
    <n v="0"/>
    <n v="0"/>
    <n v="0"/>
  </r>
  <r>
    <s v="0_7_TP"/>
    <x v="4"/>
    <x v="5"/>
    <n v="0"/>
    <m/>
    <m/>
    <m/>
    <m/>
    <n v="0"/>
    <n v="0"/>
    <n v="0"/>
    <s v="b3"/>
    <b v="0"/>
    <m/>
    <n v="0"/>
    <n v="3"/>
    <x v="7"/>
    <n v="0"/>
    <n v="0"/>
    <n v="3"/>
    <n v="3"/>
    <x v="7"/>
    <x v="45"/>
    <s v="Y"/>
    <s v="N"/>
    <s v="SS,2B,1B,P"/>
    <s v="3B"/>
    <s v="3,2,1"/>
    <s v="3,2,1"/>
    <s v="4,3,2"/>
    <s v="3,2,1"/>
    <s v="3,2,1"/>
    <s v="3,2,1"/>
    <s v="3,2,1"/>
    <m/>
    <n v="11"/>
    <n v="0"/>
    <n v="4"/>
    <n v="0"/>
    <n v="7"/>
    <n v="0"/>
    <n v="1"/>
    <n v="0"/>
    <n v="1"/>
  </r>
  <r>
    <s v="0_1_SacB"/>
    <x v="4"/>
    <x v="1"/>
    <m/>
    <m/>
    <m/>
    <s v="r1"/>
    <m/>
    <n v="0"/>
    <s v="b2"/>
    <m/>
    <m/>
    <b v="0"/>
    <m/>
    <n v="0"/>
    <n v="1"/>
    <x v="4"/>
    <n v="0"/>
    <n v="0"/>
    <n v="1"/>
    <n v="1"/>
    <x v="1"/>
    <x v="46"/>
    <s v="N"/>
    <s v="N"/>
    <s v="2B,SS"/>
    <s v="3B"/>
    <n v="1"/>
    <m/>
    <m/>
    <m/>
    <m/>
    <m/>
    <m/>
    <m/>
    <n v="1"/>
    <n v="10"/>
    <n v="1"/>
    <n v="2"/>
    <n v="1"/>
    <n v="2"/>
    <n v="0"/>
    <n v="0"/>
    <n v="0"/>
  </r>
  <r>
    <s v="0_2_SacB"/>
    <x v="4"/>
    <x v="0"/>
    <s v="b3"/>
    <m/>
    <m/>
    <m/>
    <s v="r2"/>
    <n v="0"/>
    <m/>
    <s v="b3"/>
    <m/>
    <b v="0"/>
    <m/>
    <n v="0"/>
    <n v="1"/>
    <x v="6"/>
    <n v="0"/>
    <n v="0"/>
    <n v="1"/>
    <n v="1"/>
    <x v="2"/>
    <x v="46"/>
    <s v="N"/>
    <s v="N"/>
    <s v="2B,SS"/>
    <s v="3B"/>
    <n v="1"/>
    <m/>
    <m/>
    <m/>
    <m/>
    <m/>
    <m/>
    <m/>
    <n v="10"/>
    <n v="100"/>
    <n v="2"/>
    <n v="3"/>
    <n v="2"/>
    <n v="3"/>
    <n v="0"/>
    <n v="0"/>
    <n v="0"/>
  </r>
  <r>
    <s v="0_3_SacB"/>
    <x v="4"/>
    <x v="0"/>
    <m/>
    <s v="b4"/>
    <m/>
    <m/>
    <m/>
    <n v="0"/>
    <m/>
    <m/>
    <s v="b4"/>
    <b v="0"/>
    <m/>
    <n v="1"/>
    <n v="1"/>
    <x v="7"/>
    <n v="1"/>
    <n v="0"/>
    <n v="1"/>
    <n v="1"/>
    <x v="3"/>
    <x v="46"/>
    <s v="N"/>
    <s v="N"/>
    <s v="2B,SS"/>
    <s v="3B"/>
    <n v="1"/>
    <m/>
    <m/>
    <m/>
    <m/>
    <m/>
    <m/>
    <m/>
    <n v="100"/>
    <n v="0"/>
    <n v="3"/>
    <n v="0"/>
    <n v="3"/>
    <n v="0"/>
    <n v="0"/>
    <n v="0"/>
    <n v="0"/>
  </r>
  <r>
    <s v="0_4_SacB"/>
    <x v="4"/>
    <x v="1"/>
    <s v="b3"/>
    <m/>
    <m/>
    <s v="r1"/>
    <s v="r2"/>
    <n v="0"/>
    <s v="b2"/>
    <s v="b3"/>
    <m/>
    <b v="0"/>
    <m/>
    <n v="0"/>
    <n v="1"/>
    <x v="5"/>
    <n v="0"/>
    <n v="0"/>
    <n v="1"/>
    <n v="1"/>
    <x v="4"/>
    <x v="46"/>
    <s v="N"/>
    <s v="N"/>
    <s v="2B,SS"/>
    <s v="3B"/>
    <n v="1"/>
    <m/>
    <m/>
    <m/>
    <m/>
    <m/>
    <m/>
    <m/>
    <n v="11"/>
    <n v="110"/>
    <n v="4"/>
    <n v="6"/>
    <n v="4"/>
    <n v="6"/>
    <n v="0"/>
    <n v="0"/>
    <n v="0"/>
  </r>
  <r>
    <s v="0_5_SacB"/>
    <x v="4"/>
    <x v="1"/>
    <m/>
    <s v="b4"/>
    <m/>
    <s v="r1"/>
    <m/>
    <n v="0"/>
    <s v="b2"/>
    <m/>
    <s v="b4"/>
    <b v="0"/>
    <m/>
    <n v="1"/>
    <n v="1"/>
    <x v="4"/>
    <n v="1"/>
    <n v="0"/>
    <n v="1"/>
    <n v="1"/>
    <x v="5"/>
    <x v="46"/>
    <s v="N"/>
    <s v="N"/>
    <s v="2B,SS"/>
    <s v="3B"/>
    <n v="1"/>
    <m/>
    <m/>
    <m/>
    <m/>
    <m/>
    <m/>
    <m/>
    <n v="101"/>
    <n v="10"/>
    <n v="5"/>
    <n v="2"/>
    <n v="5"/>
    <n v="2"/>
    <n v="0"/>
    <n v="0"/>
    <n v="0"/>
  </r>
  <r>
    <s v="0_6_SacB"/>
    <x v="4"/>
    <x v="0"/>
    <s v="b3"/>
    <s v="b4"/>
    <m/>
    <m/>
    <s v="r2"/>
    <n v="0"/>
    <m/>
    <s v="b3"/>
    <s v="b4"/>
    <b v="0"/>
    <m/>
    <n v="1"/>
    <n v="1"/>
    <x v="6"/>
    <n v="1"/>
    <n v="0"/>
    <n v="1"/>
    <n v="1"/>
    <x v="6"/>
    <x v="46"/>
    <s v="N"/>
    <s v="N"/>
    <s v="2B,SS"/>
    <s v="3B"/>
    <n v="1"/>
    <m/>
    <m/>
    <m/>
    <m/>
    <m/>
    <m/>
    <m/>
    <n v="110"/>
    <n v="100"/>
    <n v="6"/>
    <n v="3"/>
    <n v="6"/>
    <n v="3"/>
    <n v="0"/>
    <n v="0"/>
    <n v="0"/>
  </r>
  <r>
    <s v="0_7_SacB"/>
    <x v="4"/>
    <x v="1"/>
    <s v="b3"/>
    <s v="b4"/>
    <m/>
    <s v="r1"/>
    <s v="r2"/>
    <n v="0"/>
    <s v="b2"/>
    <s v="b3"/>
    <s v="b4"/>
    <b v="0"/>
    <m/>
    <n v="1"/>
    <n v="1"/>
    <x v="5"/>
    <n v="1"/>
    <n v="0"/>
    <n v="1"/>
    <n v="1"/>
    <x v="7"/>
    <x v="46"/>
    <s v="N"/>
    <s v="N"/>
    <s v="2B,SS"/>
    <s v="3B"/>
    <n v="1"/>
    <m/>
    <m/>
    <m/>
    <m/>
    <m/>
    <m/>
    <m/>
    <n v="111"/>
    <n v="110"/>
    <n v="7"/>
    <n v="6"/>
    <n v="7"/>
    <n v="6"/>
    <n v="0"/>
    <n v="0"/>
    <n v="0"/>
  </r>
  <r>
    <s v="1_1_SacB"/>
    <x v="4"/>
    <x v="1"/>
    <m/>
    <m/>
    <m/>
    <s v="r1"/>
    <m/>
    <n v="0"/>
    <s v="b2"/>
    <m/>
    <m/>
    <b v="0"/>
    <m/>
    <n v="0"/>
    <n v="2"/>
    <x v="4"/>
    <n v="0"/>
    <n v="1"/>
    <n v="1"/>
    <n v="2"/>
    <x v="1"/>
    <x v="46"/>
    <s v="N"/>
    <s v="N"/>
    <s v="2B,SS"/>
    <s v="3B"/>
    <n v="1"/>
    <m/>
    <m/>
    <m/>
    <m/>
    <m/>
    <m/>
    <m/>
    <n v="1"/>
    <n v="10"/>
    <n v="1"/>
    <n v="2"/>
    <n v="1"/>
    <n v="2"/>
    <n v="0"/>
    <n v="0"/>
    <n v="0"/>
  </r>
  <r>
    <s v="1_2_SacB"/>
    <x v="4"/>
    <x v="0"/>
    <s v="b3"/>
    <m/>
    <m/>
    <m/>
    <s v="r2"/>
    <n v="0"/>
    <m/>
    <s v="b3"/>
    <m/>
    <b v="0"/>
    <m/>
    <n v="0"/>
    <n v="2"/>
    <x v="6"/>
    <n v="0"/>
    <n v="1"/>
    <n v="1"/>
    <n v="2"/>
    <x v="2"/>
    <x v="46"/>
    <s v="N"/>
    <s v="N"/>
    <s v="2B,SS"/>
    <s v="3B"/>
    <n v="1"/>
    <m/>
    <m/>
    <m/>
    <m/>
    <m/>
    <m/>
    <m/>
    <n v="10"/>
    <n v="100"/>
    <n v="2"/>
    <n v="3"/>
    <n v="2"/>
    <n v="3"/>
    <n v="0"/>
    <n v="0"/>
    <n v="0"/>
  </r>
  <r>
    <s v="1_3_SacB"/>
    <x v="4"/>
    <x v="0"/>
    <m/>
    <s v="b4"/>
    <m/>
    <m/>
    <m/>
    <n v="0"/>
    <m/>
    <m/>
    <s v="b4"/>
    <b v="0"/>
    <m/>
    <n v="1"/>
    <n v="2"/>
    <x v="7"/>
    <n v="1"/>
    <n v="1"/>
    <n v="1"/>
    <n v="2"/>
    <x v="3"/>
    <x v="46"/>
    <s v="N"/>
    <s v="N"/>
    <s v="2B,SS"/>
    <s v="3B"/>
    <n v="1"/>
    <m/>
    <m/>
    <m/>
    <m/>
    <m/>
    <m/>
    <m/>
    <n v="100"/>
    <n v="0"/>
    <n v="3"/>
    <n v="0"/>
    <n v="3"/>
    <n v="0"/>
    <n v="0"/>
    <n v="0"/>
    <n v="0"/>
  </r>
  <r>
    <s v="1_4_SacB"/>
    <x v="4"/>
    <x v="1"/>
    <s v="b3"/>
    <m/>
    <m/>
    <s v="r1"/>
    <s v="r2"/>
    <n v="0"/>
    <s v="b2"/>
    <s v="b3"/>
    <m/>
    <b v="0"/>
    <m/>
    <n v="0"/>
    <n v="2"/>
    <x v="5"/>
    <n v="0"/>
    <n v="1"/>
    <n v="1"/>
    <n v="2"/>
    <x v="4"/>
    <x v="46"/>
    <s v="N"/>
    <s v="N"/>
    <s v="2B,SS"/>
    <s v="3B"/>
    <n v="1"/>
    <m/>
    <m/>
    <m/>
    <m/>
    <m/>
    <m/>
    <m/>
    <n v="11"/>
    <n v="110"/>
    <n v="4"/>
    <n v="6"/>
    <n v="4"/>
    <n v="6"/>
    <n v="0"/>
    <n v="0"/>
    <n v="0"/>
  </r>
  <r>
    <s v="1_5_SacB"/>
    <x v="4"/>
    <x v="1"/>
    <m/>
    <s v="b4"/>
    <m/>
    <s v="r1"/>
    <m/>
    <n v="0"/>
    <s v="b2"/>
    <m/>
    <s v="b4"/>
    <b v="0"/>
    <m/>
    <n v="1"/>
    <n v="2"/>
    <x v="4"/>
    <n v="1"/>
    <n v="1"/>
    <n v="1"/>
    <n v="2"/>
    <x v="5"/>
    <x v="46"/>
    <s v="N"/>
    <s v="N"/>
    <s v="2B,SS"/>
    <s v="3B"/>
    <n v="1"/>
    <m/>
    <m/>
    <m/>
    <m/>
    <m/>
    <m/>
    <m/>
    <n v="101"/>
    <n v="10"/>
    <n v="5"/>
    <n v="2"/>
    <n v="5"/>
    <n v="2"/>
    <n v="0"/>
    <n v="0"/>
    <n v="0"/>
  </r>
  <r>
    <s v="1_6_SacB"/>
    <x v="4"/>
    <x v="0"/>
    <s v="b3"/>
    <s v="b4"/>
    <m/>
    <m/>
    <s v="r2"/>
    <n v="0"/>
    <m/>
    <s v="b3"/>
    <s v="b4"/>
    <b v="0"/>
    <m/>
    <n v="1"/>
    <n v="2"/>
    <x v="6"/>
    <n v="1"/>
    <n v="1"/>
    <n v="1"/>
    <n v="2"/>
    <x v="6"/>
    <x v="46"/>
    <s v="N"/>
    <s v="N"/>
    <s v="2B,SS"/>
    <s v="3B"/>
    <n v="1"/>
    <m/>
    <m/>
    <m/>
    <m/>
    <m/>
    <m/>
    <m/>
    <n v="110"/>
    <n v="100"/>
    <n v="6"/>
    <n v="3"/>
    <n v="6"/>
    <n v="3"/>
    <n v="0"/>
    <n v="0"/>
    <n v="0"/>
  </r>
  <r>
    <s v="1_7_SacB"/>
    <x v="4"/>
    <x v="1"/>
    <s v="b3"/>
    <s v="b4"/>
    <m/>
    <s v="r1"/>
    <s v="r2"/>
    <n v="0"/>
    <s v="b2"/>
    <s v="b3"/>
    <s v="b4"/>
    <b v="0"/>
    <m/>
    <n v="1"/>
    <n v="2"/>
    <x v="5"/>
    <n v="1"/>
    <n v="1"/>
    <n v="1"/>
    <n v="2"/>
    <x v="7"/>
    <x v="46"/>
    <s v="N"/>
    <s v="N"/>
    <s v="2B,SS"/>
    <s v="3B"/>
    <n v="1"/>
    <m/>
    <m/>
    <m/>
    <m/>
    <m/>
    <m/>
    <m/>
    <n v="111"/>
    <n v="110"/>
    <n v="7"/>
    <n v="6"/>
    <n v="7"/>
    <n v="6"/>
    <n v="0"/>
    <n v="0"/>
    <n v="0"/>
  </r>
  <r>
    <s v="1_5_DP"/>
    <x v="4"/>
    <x v="5"/>
    <m/>
    <m/>
    <m/>
    <m/>
    <m/>
    <n v="0"/>
    <n v="0"/>
    <m/>
    <s v="b3"/>
    <b v="0"/>
    <m/>
    <n v="0"/>
    <n v="3"/>
    <x v="7"/>
    <n v="0"/>
    <n v="1"/>
    <n v="2"/>
    <n v="3"/>
    <x v="5"/>
    <x v="19"/>
    <s v="Y"/>
    <s v="N"/>
    <m/>
    <m/>
    <s v="2,1"/>
    <s v="2,1"/>
    <s v="2,1"/>
    <s v="2,1"/>
    <s v="2,1"/>
    <s v="2,1"/>
    <s v="2,1"/>
    <m/>
    <n v="1"/>
    <n v="0"/>
    <n v="1"/>
    <n v="0"/>
    <n v="5"/>
    <n v="0"/>
    <n v="1"/>
    <n v="0"/>
    <n v="1"/>
  </r>
  <r>
    <s v="0_5_DP"/>
    <x v="4"/>
    <x v="5"/>
    <m/>
    <s v="b3"/>
    <m/>
    <m/>
    <s v="r3"/>
    <n v="0"/>
    <n v="0"/>
    <m/>
    <s v="b3"/>
    <b v="0"/>
    <m/>
    <n v="0"/>
    <n v="2"/>
    <x v="6"/>
    <n v="0"/>
    <n v="0"/>
    <n v="2"/>
    <n v="2"/>
    <x v="5"/>
    <x v="19"/>
    <s v="Y"/>
    <s v="N"/>
    <m/>
    <m/>
    <s v="2,1"/>
    <s v="2,1"/>
    <s v="2,1"/>
    <s v="2,1"/>
    <s v="2,1"/>
    <s v="2,1"/>
    <s v="2,1"/>
    <m/>
    <n v="101"/>
    <n v="100"/>
    <n v="5"/>
    <n v="3"/>
    <n v="5"/>
    <n v="3"/>
    <n v="0"/>
    <n v="0"/>
    <n v="0"/>
  </r>
  <r>
    <s v="0_2_LODP"/>
    <x v="4"/>
    <x v="0"/>
    <n v="0"/>
    <m/>
    <m/>
    <m/>
    <m/>
    <n v="0"/>
    <m/>
    <n v="0"/>
    <m/>
    <b v="0"/>
    <b v="1"/>
    <n v="0"/>
    <n v="2"/>
    <x v="7"/>
    <n v="0"/>
    <n v="0"/>
    <n v="2"/>
    <n v="2"/>
    <x v="2"/>
    <x v="47"/>
    <s v="Y"/>
    <s v="N"/>
    <m/>
    <m/>
    <n v="2"/>
    <m/>
    <m/>
    <m/>
    <m/>
    <m/>
    <m/>
    <m/>
    <n v="10"/>
    <n v="0"/>
    <n v="2"/>
    <n v="0"/>
    <n v="2"/>
    <n v="0"/>
    <n v="0"/>
    <n v="0"/>
    <n v="0"/>
  </r>
  <r>
    <s v="0_3_LODP"/>
    <x v="4"/>
    <x v="0"/>
    <m/>
    <n v="0"/>
    <m/>
    <m/>
    <m/>
    <n v="0"/>
    <m/>
    <m/>
    <n v="0"/>
    <b v="0"/>
    <b v="1"/>
    <n v="0"/>
    <n v="2"/>
    <x v="7"/>
    <n v="0"/>
    <n v="0"/>
    <n v="2"/>
    <n v="2"/>
    <x v="3"/>
    <x v="47"/>
    <s v="Y"/>
    <s v="N"/>
    <m/>
    <m/>
    <n v="3"/>
    <m/>
    <m/>
    <m/>
    <m/>
    <m/>
    <m/>
    <m/>
    <n v="100"/>
    <n v="0"/>
    <n v="3"/>
    <n v="0"/>
    <n v="3"/>
    <n v="0"/>
    <n v="0"/>
    <n v="0"/>
    <n v="0"/>
  </r>
  <r>
    <s v="0_6_LODP"/>
    <x v="4"/>
    <x v="0"/>
    <s v="b2"/>
    <n v="0"/>
    <m/>
    <s v="r2"/>
    <m/>
    <n v="0"/>
    <m/>
    <s v="b2"/>
    <n v="0"/>
    <b v="0"/>
    <b v="1"/>
    <n v="0"/>
    <n v="2"/>
    <x v="4"/>
    <n v="0"/>
    <n v="0"/>
    <n v="2"/>
    <n v="2"/>
    <x v="6"/>
    <x v="47"/>
    <s v="Y"/>
    <s v="N"/>
    <m/>
    <m/>
    <n v="3"/>
    <m/>
    <m/>
    <m/>
    <m/>
    <m/>
    <m/>
    <m/>
    <n v="110"/>
    <n v="10"/>
    <n v="6"/>
    <n v="2"/>
    <n v="6"/>
    <n v="2"/>
    <n v="0"/>
    <n v="0"/>
    <n v="0"/>
  </r>
  <r>
    <s v="1_2_LODP"/>
    <x v="4"/>
    <x v="0"/>
    <n v="0"/>
    <m/>
    <m/>
    <m/>
    <m/>
    <n v="0"/>
    <m/>
    <n v="0"/>
    <m/>
    <b v="0"/>
    <b v="1"/>
    <n v="0"/>
    <n v="3"/>
    <x v="7"/>
    <n v="0"/>
    <n v="1"/>
    <n v="2"/>
    <n v="3"/>
    <x v="2"/>
    <x v="47"/>
    <s v="Y"/>
    <s v="N"/>
    <m/>
    <m/>
    <n v="2"/>
    <m/>
    <m/>
    <m/>
    <m/>
    <m/>
    <m/>
    <m/>
    <n v="10"/>
    <n v="0"/>
    <n v="2"/>
    <n v="0"/>
    <n v="2"/>
    <n v="0"/>
    <n v="0"/>
    <n v="0"/>
    <n v="0"/>
  </r>
  <r>
    <s v="1_3_LODP"/>
    <x v="4"/>
    <x v="0"/>
    <m/>
    <n v="0"/>
    <m/>
    <m/>
    <m/>
    <n v="0"/>
    <m/>
    <m/>
    <n v="0"/>
    <b v="0"/>
    <b v="1"/>
    <n v="0"/>
    <n v="3"/>
    <x v="7"/>
    <n v="0"/>
    <n v="1"/>
    <n v="2"/>
    <n v="3"/>
    <x v="3"/>
    <x v="47"/>
    <s v="Y"/>
    <s v="N"/>
    <m/>
    <m/>
    <n v="3"/>
    <m/>
    <m/>
    <m/>
    <m/>
    <m/>
    <m/>
    <m/>
    <n v="100"/>
    <n v="0"/>
    <n v="3"/>
    <n v="0"/>
    <n v="3"/>
    <n v="0"/>
    <n v="0"/>
    <n v="0"/>
    <n v="0"/>
  </r>
  <r>
    <s v="1_6_LODP"/>
    <x v="4"/>
    <x v="0"/>
    <m/>
    <n v="0"/>
    <m/>
    <m/>
    <m/>
    <n v="0"/>
    <m/>
    <s v="b2"/>
    <n v="0"/>
    <b v="0"/>
    <b v="1"/>
    <n v="0"/>
    <n v="3"/>
    <x v="7"/>
    <n v="0"/>
    <n v="1"/>
    <n v="2"/>
    <n v="3"/>
    <x v="6"/>
    <x v="47"/>
    <s v="Y"/>
    <s v="N"/>
    <m/>
    <m/>
    <n v="3"/>
    <m/>
    <m/>
    <m/>
    <m/>
    <m/>
    <m/>
    <m/>
    <n v="100"/>
    <n v="0"/>
    <n v="3"/>
    <n v="0"/>
    <n v="6"/>
    <n v="0"/>
    <n v="1"/>
    <n v="0"/>
    <n v="1"/>
  </r>
  <r>
    <s v="0_5_LODP"/>
    <x v="4"/>
    <x v="4"/>
    <m/>
    <n v="0"/>
    <s v="r1"/>
    <m/>
    <m/>
    <n v="0"/>
    <s v="b1"/>
    <m/>
    <n v="0"/>
    <b v="0"/>
    <b v="1"/>
    <n v="0"/>
    <n v="2"/>
    <x v="0"/>
    <n v="0"/>
    <n v="0"/>
    <n v="2"/>
    <n v="2"/>
    <x v="5"/>
    <x v="47"/>
    <s v="Y"/>
    <s v="N"/>
    <m/>
    <m/>
    <n v="3"/>
    <m/>
    <m/>
    <m/>
    <m/>
    <m/>
    <m/>
    <m/>
    <n v="101"/>
    <n v="1"/>
    <n v="5"/>
    <n v="1"/>
    <n v="5"/>
    <n v="1"/>
    <n v="0"/>
    <n v="0"/>
    <n v="0"/>
  </r>
  <r>
    <s v="1_5_LODP"/>
    <x v="4"/>
    <x v="0"/>
    <m/>
    <n v="0"/>
    <m/>
    <m/>
    <m/>
    <n v="0"/>
    <s v="b1"/>
    <m/>
    <n v="0"/>
    <b v="0"/>
    <b v="1"/>
    <n v="0"/>
    <n v="3"/>
    <x v="7"/>
    <n v="0"/>
    <n v="1"/>
    <n v="2"/>
    <n v="3"/>
    <x v="5"/>
    <x v="47"/>
    <s v="Y"/>
    <s v="N"/>
    <m/>
    <m/>
    <n v="3"/>
    <m/>
    <m/>
    <m/>
    <m/>
    <m/>
    <m/>
    <m/>
    <n v="100"/>
    <n v="0"/>
    <n v="3"/>
    <n v="0"/>
    <n v="5"/>
    <n v="0"/>
    <n v="1"/>
    <n v="0"/>
    <n v="1"/>
  </r>
  <r>
    <s v="2_3_BGO"/>
    <x v="4"/>
    <x v="0"/>
    <m/>
    <m/>
    <m/>
    <m/>
    <m/>
    <n v="0"/>
    <m/>
    <m/>
    <s v="b3"/>
    <b v="0"/>
    <m/>
    <n v="0"/>
    <n v="3"/>
    <x v="7"/>
    <n v="0"/>
    <n v="2"/>
    <n v="1"/>
    <n v="3"/>
    <x v="3"/>
    <x v="13"/>
    <s v="Y"/>
    <s v="N"/>
    <s v="2B,SS"/>
    <s v="3B"/>
    <n v="1"/>
    <m/>
    <m/>
    <m/>
    <m/>
    <m/>
    <m/>
    <m/>
    <n v="0"/>
    <n v="0"/>
    <n v="0"/>
    <n v="0"/>
    <n v="3"/>
    <n v="0"/>
    <n v="1"/>
    <n v="0"/>
    <n v="1"/>
  </r>
  <r>
    <s v="1_0_pAuto"/>
    <x v="3"/>
    <x v="0"/>
    <s v="g"/>
    <m/>
    <m/>
    <s v="g"/>
    <m/>
    <m/>
    <m/>
    <s v="g"/>
    <m/>
    <b v="0"/>
    <m/>
    <n v="0"/>
    <n v="1"/>
    <x v="4"/>
    <n v="0"/>
    <n v="1"/>
    <n v="0"/>
    <n v="1"/>
    <x v="0"/>
    <x v="48"/>
    <s v="N"/>
    <s v="N"/>
    <m/>
    <m/>
    <m/>
    <m/>
    <m/>
    <m/>
    <m/>
    <m/>
    <m/>
    <m/>
    <n v="10"/>
    <n v="10"/>
    <n v="2"/>
    <n v="2"/>
    <n v="0"/>
    <n v="2"/>
    <n v="1"/>
    <n v="0"/>
    <n v="1"/>
  </r>
  <r>
    <s v="2_0_pAuto"/>
    <x v="3"/>
    <x v="0"/>
    <s v="g"/>
    <m/>
    <m/>
    <s v="g"/>
    <m/>
    <m/>
    <m/>
    <s v="g"/>
    <m/>
    <b v="0"/>
    <m/>
    <n v="0"/>
    <n v="2"/>
    <x v="4"/>
    <n v="0"/>
    <n v="2"/>
    <n v="0"/>
    <n v="2"/>
    <x v="0"/>
    <x v="48"/>
    <s v="N"/>
    <s v="N"/>
    <m/>
    <m/>
    <m/>
    <m/>
    <m/>
    <m/>
    <m/>
    <m/>
    <m/>
    <m/>
    <n v="10"/>
    <n v="10"/>
    <n v="2"/>
    <n v="2"/>
    <n v="0"/>
    <n v="2"/>
    <n v="1"/>
    <n v="0"/>
    <n v="1"/>
  </r>
  <r>
    <s v="0_0_pAuto"/>
    <x v="3"/>
    <x v="0"/>
    <s v="g"/>
    <m/>
    <m/>
    <s v="g"/>
    <m/>
    <m/>
    <m/>
    <s v="g"/>
    <m/>
    <b v="0"/>
    <m/>
    <n v="0"/>
    <n v="0"/>
    <x v="4"/>
    <n v="0"/>
    <n v="0"/>
    <n v="0"/>
    <n v="0"/>
    <x v="0"/>
    <x v="48"/>
    <s v="N"/>
    <s v="N"/>
    <m/>
    <m/>
    <m/>
    <m/>
    <m/>
    <m/>
    <m/>
    <m/>
    <m/>
    <m/>
    <n v="10"/>
    <n v="10"/>
    <n v="2"/>
    <n v="2"/>
    <n v="0"/>
    <n v="2"/>
    <n v="1"/>
    <n v="0"/>
    <n v="1"/>
  </r>
  <r>
    <s v="0_7_IF1B"/>
    <x v="0"/>
    <x v="1"/>
    <s v="b3"/>
    <s v="b4"/>
    <s v="B"/>
    <s v="r1"/>
    <s v="r2"/>
    <s v="b1"/>
    <s v="b2"/>
    <s v="b3"/>
    <s v="b4"/>
    <b v="0"/>
    <m/>
    <n v="1"/>
    <n v="0"/>
    <x v="3"/>
    <n v="1"/>
    <n v="0"/>
    <n v="0"/>
    <n v="0"/>
    <x v="7"/>
    <x v="33"/>
    <s v="Y"/>
    <s v="Y"/>
    <m/>
    <m/>
    <m/>
    <m/>
    <m/>
    <m/>
    <m/>
    <m/>
    <m/>
    <m/>
    <n v="111"/>
    <n v="111"/>
    <n v="7"/>
    <n v="7"/>
    <n v="7"/>
    <n v="7"/>
    <n v="0"/>
    <n v="0"/>
    <n v="0"/>
  </r>
  <r>
    <s v="0_1_KCS"/>
    <x v="4"/>
    <x v="5"/>
    <m/>
    <m/>
    <m/>
    <m/>
    <m/>
    <n v="0"/>
    <n v="0"/>
    <m/>
    <m/>
    <b v="0"/>
    <m/>
    <n v="0"/>
    <n v="2"/>
    <x v="7"/>
    <n v="0"/>
    <n v="0"/>
    <n v="2"/>
    <n v="2"/>
    <x v="1"/>
    <x v="49"/>
    <s v="Y"/>
    <s v="N"/>
    <m/>
    <s v="C"/>
    <n v="2"/>
    <m/>
    <m/>
    <m/>
    <m/>
    <m/>
    <m/>
    <m/>
    <n v="1"/>
    <n v="0"/>
    <n v="1"/>
    <n v="0"/>
    <n v="1"/>
    <n v="0"/>
    <n v="0"/>
    <n v="0"/>
    <n v="0"/>
  </r>
  <r>
    <s v="0_2_KCS"/>
    <x v="4"/>
    <x v="0"/>
    <n v="0"/>
    <m/>
    <m/>
    <m/>
    <m/>
    <n v="0"/>
    <m/>
    <n v="0"/>
    <m/>
    <b v="0"/>
    <m/>
    <n v="0"/>
    <n v="2"/>
    <x v="7"/>
    <n v="0"/>
    <n v="0"/>
    <n v="2"/>
    <n v="2"/>
    <x v="2"/>
    <x v="49"/>
    <s v="Y"/>
    <s v="N"/>
    <m/>
    <s v="C"/>
    <n v="3"/>
    <m/>
    <m/>
    <m/>
    <m/>
    <m/>
    <m/>
    <m/>
    <n v="10"/>
    <n v="0"/>
    <n v="2"/>
    <n v="0"/>
    <n v="2"/>
    <n v="0"/>
    <n v="0"/>
    <n v="0"/>
    <n v="0"/>
  </r>
  <r>
    <s v="0_4_KCS"/>
    <x v="4"/>
    <x v="1"/>
    <n v="0"/>
    <m/>
    <m/>
    <s v="r1"/>
    <m/>
    <n v="0"/>
    <s v="b2"/>
    <n v="0"/>
    <m/>
    <b v="0"/>
    <m/>
    <n v="0"/>
    <n v="2"/>
    <x v="4"/>
    <n v="0"/>
    <n v="0"/>
    <n v="2"/>
    <n v="2"/>
    <x v="4"/>
    <x v="49"/>
    <s v="Y"/>
    <s v="N"/>
    <m/>
    <s v="C"/>
    <n v="3"/>
    <m/>
    <m/>
    <m/>
    <m/>
    <m/>
    <m/>
    <m/>
    <n v="11"/>
    <n v="10"/>
    <n v="4"/>
    <n v="2"/>
    <n v="4"/>
    <n v="2"/>
    <n v="0"/>
    <n v="0"/>
    <n v="0"/>
  </r>
  <r>
    <s v="0_5_KCS"/>
    <x v="4"/>
    <x v="5"/>
    <m/>
    <s v="b3"/>
    <m/>
    <m/>
    <s v="r3"/>
    <n v="0"/>
    <n v="0"/>
    <m/>
    <s v="b3"/>
    <b v="0"/>
    <m/>
    <n v="0"/>
    <n v="2"/>
    <x v="6"/>
    <n v="0"/>
    <n v="0"/>
    <n v="2"/>
    <n v="2"/>
    <x v="5"/>
    <x v="49"/>
    <s v="Y"/>
    <s v="N"/>
    <m/>
    <s v="C"/>
    <n v="2"/>
    <m/>
    <m/>
    <m/>
    <m/>
    <m/>
    <m/>
    <m/>
    <n v="101"/>
    <n v="100"/>
    <n v="5"/>
    <n v="3"/>
    <n v="5"/>
    <n v="3"/>
    <n v="0"/>
    <n v="0"/>
    <n v="0"/>
  </r>
  <r>
    <s v="1_1_KCS"/>
    <x v="4"/>
    <x v="5"/>
    <m/>
    <m/>
    <m/>
    <m/>
    <m/>
    <n v="0"/>
    <n v="0"/>
    <m/>
    <m/>
    <b v="0"/>
    <m/>
    <n v="0"/>
    <n v="3"/>
    <x v="7"/>
    <n v="0"/>
    <n v="1"/>
    <n v="2"/>
    <n v="3"/>
    <x v="1"/>
    <x v="49"/>
    <s v="Y"/>
    <s v="N"/>
    <m/>
    <s v="C"/>
    <n v="2"/>
    <m/>
    <m/>
    <m/>
    <m/>
    <m/>
    <m/>
    <m/>
    <n v="1"/>
    <n v="0"/>
    <n v="1"/>
    <n v="0"/>
    <n v="1"/>
    <n v="0"/>
    <n v="0"/>
    <n v="0"/>
    <n v="0"/>
  </r>
  <r>
    <s v="1_2_KCS"/>
    <x v="4"/>
    <x v="0"/>
    <n v="0"/>
    <m/>
    <m/>
    <m/>
    <m/>
    <n v="0"/>
    <m/>
    <n v="0"/>
    <m/>
    <b v="0"/>
    <m/>
    <n v="0"/>
    <n v="3"/>
    <x v="7"/>
    <n v="0"/>
    <n v="1"/>
    <n v="2"/>
    <n v="3"/>
    <x v="2"/>
    <x v="49"/>
    <s v="Y"/>
    <s v="N"/>
    <m/>
    <s v="C"/>
    <n v="3"/>
    <m/>
    <m/>
    <m/>
    <m/>
    <m/>
    <m/>
    <m/>
    <n v="10"/>
    <n v="0"/>
    <n v="2"/>
    <n v="0"/>
    <n v="2"/>
    <n v="0"/>
    <n v="0"/>
    <n v="0"/>
    <n v="0"/>
  </r>
  <r>
    <s v="1_4_KCS"/>
    <x v="4"/>
    <x v="1"/>
    <n v="0"/>
    <m/>
    <m/>
    <s v="r1"/>
    <m/>
    <n v="0"/>
    <s v="b2"/>
    <n v="0"/>
    <m/>
    <b v="0"/>
    <m/>
    <n v="0"/>
    <n v="3"/>
    <x v="4"/>
    <n v="0"/>
    <n v="1"/>
    <n v="2"/>
    <n v="3"/>
    <x v="4"/>
    <x v="49"/>
    <s v="Y"/>
    <s v="N"/>
    <m/>
    <s v="C"/>
    <n v="3"/>
    <m/>
    <m/>
    <m/>
    <m/>
    <m/>
    <m/>
    <m/>
    <n v="11"/>
    <n v="10"/>
    <n v="4"/>
    <n v="2"/>
    <n v="4"/>
    <n v="2"/>
    <n v="0"/>
    <n v="0"/>
    <n v="0"/>
  </r>
  <r>
    <s v="1_5_KCS"/>
    <x v="4"/>
    <x v="5"/>
    <m/>
    <s v="b3"/>
    <m/>
    <m/>
    <s v="r3"/>
    <n v="0"/>
    <n v="0"/>
    <m/>
    <s v="b3"/>
    <b v="0"/>
    <m/>
    <n v="0"/>
    <n v="3"/>
    <x v="6"/>
    <n v="0"/>
    <n v="1"/>
    <n v="2"/>
    <n v="3"/>
    <x v="5"/>
    <x v="49"/>
    <s v="Y"/>
    <s v="N"/>
    <m/>
    <s v="C"/>
    <n v="2"/>
    <m/>
    <m/>
    <m/>
    <m/>
    <m/>
    <m/>
    <m/>
    <n v="101"/>
    <n v="100"/>
    <n v="5"/>
    <n v="3"/>
    <n v="5"/>
    <n v="3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D3070-9086-467E-882D-16AA03A5299A}" name="PivotTable3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K90" firstHeaderRow="1" firstDataRow="2" firstDataCol="2"/>
  <pivotFields count="44">
    <pivotField compact="0" outline="0" showAll="0"/>
    <pivotField dataField="1" compact="0" outline="0" showAll="0">
      <items count="7">
        <item x="4"/>
        <item x="0"/>
        <item x="1"/>
        <item x="2"/>
        <item x="5"/>
        <item x="3"/>
        <item t="default"/>
      </items>
    </pivotField>
    <pivotField axis="axisRow" compact="0" outline="0" showAll="0">
      <items count="7">
        <item x="5"/>
        <item x="4"/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8">
        <item x="7"/>
        <item x="0"/>
        <item x="4"/>
        <item x="6"/>
        <item x="1"/>
        <item x="2"/>
        <item x="5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50">
        <item x="0"/>
        <item x="1"/>
        <item x="2"/>
        <item x="3"/>
        <item x="4"/>
        <item x="5"/>
        <item x="8"/>
        <item x="9"/>
        <item x="6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49"/>
        <item x="47"/>
        <item x="48"/>
        <item x="35"/>
        <item x="46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2"/>
    <field x="2"/>
  </rowFields>
  <rowItems count="88">
    <i>
      <x/>
      <x v="2"/>
    </i>
    <i r="1">
      <x v="5"/>
    </i>
    <i>
      <x v="1"/>
      <x v="3"/>
    </i>
    <i r="1">
      <x v="5"/>
    </i>
    <i>
      <x v="2"/>
      <x v="2"/>
    </i>
    <i>
      <x v="3"/>
      <x v="3"/>
    </i>
    <i r="1">
      <x v="5"/>
    </i>
    <i>
      <x v="4"/>
      <x v="4"/>
    </i>
    <i>
      <x v="5"/>
      <x v="4"/>
    </i>
    <i r="1">
      <x v="5"/>
    </i>
    <i>
      <x v="6"/>
      <x v="2"/>
    </i>
    <i r="1">
      <x v="5"/>
    </i>
    <i>
      <x v="7"/>
      <x v="3"/>
    </i>
    <i r="1">
      <x v="5"/>
    </i>
    <i>
      <x v="8"/>
      <x v="2"/>
    </i>
    <i r="1">
      <x v="5"/>
    </i>
    <i>
      <x v="9"/>
      <x v="1"/>
    </i>
    <i r="1">
      <x v="5"/>
    </i>
    <i>
      <x v="10"/>
      <x v="2"/>
    </i>
    <i r="1">
      <x v="5"/>
    </i>
    <i>
      <x v="11"/>
      <x/>
    </i>
    <i r="1">
      <x v="1"/>
    </i>
    <i r="1">
      <x v="5"/>
    </i>
    <i>
      <x v="12"/>
      <x/>
    </i>
    <i r="1">
      <x v="2"/>
    </i>
    <i r="1">
      <x v="5"/>
    </i>
    <i>
      <x v="13"/>
      <x v="5"/>
    </i>
    <i>
      <x v="14"/>
      <x/>
    </i>
    <i>
      <x v="15"/>
      <x/>
    </i>
    <i>
      <x v="16"/>
      <x v="2"/>
    </i>
    <i r="1">
      <x v="5"/>
    </i>
    <i>
      <x v="17"/>
      <x v="2"/>
    </i>
    <i r="1">
      <x v="5"/>
    </i>
    <i>
      <x v="18"/>
      <x v="1"/>
    </i>
    <i r="1">
      <x v="5"/>
    </i>
    <i>
      <x v="19"/>
      <x/>
    </i>
    <i>
      <x v="20"/>
      <x/>
    </i>
    <i>
      <x v="21"/>
      <x v="2"/>
    </i>
    <i r="1">
      <x v="5"/>
    </i>
    <i>
      <x v="22"/>
      <x v="2"/>
    </i>
    <i r="1">
      <x v="5"/>
    </i>
    <i>
      <x v="23"/>
      <x/>
    </i>
    <i>
      <x v="24"/>
      <x v="1"/>
    </i>
    <i r="1">
      <x v="5"/>
    </i>
    <i>
      <x v="25"/>
      <x/>
    </i>
    <i>
      <x v="26"/>
      <x v="2"/>
    </i>
    <i>
      <x v="27"/>
      <x v="2"/>
    </i>
    <i>
      <x v="28"/>
      <x v="1"/>
    </i>
    <i r="1">
      <x v="5"/>
    </i>
    <i>
      <x v="29"/>
      <x v="5"/>
    </i>
    <i>
      <x v="30"/>
      <x v="2"/>
    </i>
    <i r="1">
      <x v="5"/>
    </i>
    <i>
      <x v="31"/>
      <x v="4"/>
    </i>
    <i r="1">
      <x v="5"/>
    </i>
    <i>
      <x v="32"/>
      <x v="2"/>
    </i>
    <i r="1">
      <x v="5"/>
    </i>
    <i>
      <x v="33"/>
      <x v="2"/>
    </i>
    <i r="1">
      <x v="5"/>
    </i>
    <i>
      <x v="34"/>
      <x v="1"/>
    </i>
    <i r="1">
      <x v="5"/>
    </i>
    <i>
      <x v="35"/>
      <x/>
    </i>
    <i r="1">
      <x v="2"/>
    </i>
    <i r="1">
      <x v="5"/>
    </i>
    <i>
      <x v="36"/>
      <x v="1"/>
    </i>
    <i r="1">
      <x v="5"/>
    </i>
    <i>
      <x v="37"/>
      <x v="5"/>
    </i>
    <i>
      <x v="38"/>
      <x v="1"/>
    </i>
    <i r="1">
      <x v="5"/>
    </i>
    <i>
      <x v="39"/>
      <x v="2"/>
    </i>
    <i r="1">
      <x v="5"/>
    </i>
    <i>
      <x v="40"/>
      <x v="1"/>
    </i>
    <i r="1">
      <x v="2"/>
    </i>
    <i r="1">
      <x v="5"/>
    </i>
    <i>
      <x v="41"/>
      <x v="2"/>
    </i>
    <i>
      <x v="42"/>
      <x v="2"/>
    </i>
    <i>
      <x v="43"/>
      <x v="1"/>
    </i>
    <i r="1">
      <x v="2"/>
    </i>
    <i r="1">
      <x v="5"/>
    </i>
    <i>
      <x v="44"/>
      <x v="2"/>
    </i>
    <i>
      <x v="45"/>
      <x v="1"/>
    </i>
    <i r="1">
      <x v="2"/>
    </i>
    <i r="1">
      <x v="5"/>
    </i>
    <i>
      <x v="46"/>
      <x v="2"/>
    </i>
    <i>
      <x v="47"/>
      <x v="1"/>
    </i>
    <i r="1">
      <x v="5"/>
    </i>
    <i>
      <x v="48"/>
      <x v="2"/>
    </i>
    <i>
      <x v="49"/>
      <x/>
    </i>
    <i t="grand">
      <x/>
    </i>
  </rowItems>
  <colFields count="1">
    <field x="2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B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270C-A83B-4221-AA80-DD0052B0BDC2}">
  <dimension ref="A1:K90"/>
  <sheetViews>
    <sheetView zoomScale="90" zoomScaleNormal="90" workbookViewId="0">
      <selection activeCell="D7" sqref="D7"/>
    </sheetView>
  </sheetViews>
  <sheetFormatPr defaultRowHeight="15" x14ac:dyDescent="0.25"/>
  <cols>
    <col min="1" max="1" width="11.28515625" bestFit="1" customWidth="1"/>
    <col min="2" max="2" width="7.42578125" bestFit="1" customWidth="1"/>
    <col min="3" max="10" width="8.5703125" bestFit="1" customWidth="1"/>
    <col min="11" max="11" width="11.28515625" bestFit="1" customWidth="1"/>
  </cols>
  <sheetData>
    <row r="1" spans="1:11" x14ac:dyDescent="0.25">
      <c r="A1" s="3" t="s">
        <v>722</v>
      </c>
      <c r="C1" s="3" t="s">
        <v>723</v>
      </c>
    </row>
    <row r="2" spans="1:11" x14ac:dyDescent="0.25">
      <c r="A2" s="3" t="s">
        <v>667</v>
      </c>
      <c r="B2" s="3" t="s">
        <v>2</v>
      </c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 t="s">
        <v>720</v>
      </c>
    </row>
    <row r="3" spans="1:11" x14ac:dyDescent="0.25">
      <c r="A3" t="s">
        <v>672</v>
      </c>
      <c r="B3" t="s">
        <v>6</v>
      </c>
      <c r="C3" s="4"/>
      <c r="D3" s="4">
        <v>3</v>
      </c>
      <c r="E3" s="4"/>
      <c r="F3" s="4"/>
      <c r="G3" s="4">
        <v>3</v>
      </c>
      <c r="H3" s="4">
        <v>3</v>
      </c>
      <c r="I3" s="4"/>
      <c r="J3" s="4">
        <v>3</v>
      </c>
      <c r="K3" s="4">
        <v>12</v>
      </c>
    </row>
    <row r="4" spans="1:11" x14ac:dyDescent="0.25">
      <c r="B4" t="s">
        <v>721</v>
      </c>
      <c r="C4" s="4">
        <v>3</v>
      </c>
      <c r="D4" s="4"/>
      <c r="E4" s="4">
        <v>3</v>
      </c>
      <c r="F4" s="4">
        <v>3</v>
      </c>
      <c r="G4" s="4"/>
      <c r="H4" s="4"/>
      <c r="I4" s="4">
        <v>3</v>
      </c>
      <c r="J4" s="4"/>
      <c r="K4" s="4">
        <v>12</v>
      </c>
    </row>
    <row r="5" spans="1:11" x14ac:dyDescent="0.25">
      <c r="A5" t="s">
        <v>673</v>
      </c>
      <c r="B5" t="s">
        <v>7</v>
      </c>
      <c r="C5" s="4"/>
      <c r="D5" s="4">
        <v>3</v>
      </c>
      <c r="E5" s="4"/>
      <c r="F5" s="4"/>
      <c r="G5" s="4">
        <v>3</v>
      </c>
      <c r="H5" s="4">
        <v>3</v>
      </c>
      <c r="I5" s="4"/>
      <c r="J5" s="4">
        <v>3</v>
      </c>
      <c r="K5" s="4">
        <v>12</v>
      </c>
    </row>
    <row r="6" spans="1:11" x14ac:dyDescent="0.25">
      <c r="B6" t="s">
        <v>721</v>
      </c>
      <c r="C6" s="4"/>
      <c r="D6" s="4"/>
      <c r="E6" s="4">
        <v>3</v>
      </c>
      <c r="F6" s="4"/>
      <c r="G6" s="4"/>
      <c r="H6" s="4"/>
      <c r="I6" s="4">
        <v>3</v>
      </c>
      <c r="J6" s="4"/>
      <c r="K6" s="4">
        <v>6</v>
      </c>
    </row>
    <row r="7" spans="1:11" x14ac:dyDescent="0.25">
      <c r="A7" t="s">
        <v>674</v>
      </c>
      <c r="B7" t="s">
        <v>6</v>
      </c>
      <c r="C7" s="4"/>
      <c r="D7" s="4"/>
      <c r="E7" s="4"/>
      <c r="F7" s="4"/>
      <c r="G7" s="4">
        <v>3</v>
      </c>
      <c r="H7" s="4"/>
      <c r="I7" s="4"/>
      <c r="J7" s="4">
        <v>3</v>
      </c>
      <c r="K7" s="4">
        <v>6</v>
      </c>
    </row>
    <row r="8" spans="1:11" x14ac:dyDescent="0.25">
      <c r="A8" t="s">
        <v>361</v>
      </c>
      <c r="B8" t="s">
        <v>7</v>
      </c>
      <c r="C8" s="4"/>
      <c r="D8" s="4">
        <v>3</v>
      </c>
      <c r="E8" s="4"/>
      <c r="F8" s="4"/>
      <c r="G8" s="4">
        <v>3</v>
      </c>
      <c r="H8" s="4">
        <v>3</v>
      </c>
      <c r="I8" s="4"/>
      <c r="J8" s="4">
        <v>3</v>
      </c>
      <c r="K8" s="4">
        <v>12</v>
      </c>
    </row>
    <row r="9" spans="1:11" x14ac:dyDescent="0.25">
      <c r="B9" t="s">
        <v>721</v>
      </c>
      <c r="C9" s="4">
        <v>3</v>
      </c>
      <c r="D9" s="4"/>
      <c r="E9" s="4">
        <v>3</v>
      </c>
      <c r="F9" s="4">
        <v>3</v>
      </c>
      <c r="G9" s="4"/>
      <c r="H9" s="4"/>
      <c r="I9" s="4">
        <v>3</v>
      </c>
      <c r="J9" s="4"/>
      <c r="K9" s="4">
        <v>12</v>
      </c>
    </row>
    <row r="10" spans="1:11" x14ac:dyDescent="0.25">
      <c r="A10" t="s">
        <v>675</v>
      </c>
      <c r="B10" t="s">
        <v>43</v>
      </c>
      <c r="C10" s="4"/>
      <c r="D10" s="4">
        <v>3</v>
      </c>
      <c r="E10" s="4"/>
      <c r="F10" s="4"/>
      <c r="G10" s="4">
        <v>3</v>
      </c>
      <c r="H10" s="4">
        <v>3</v>
      </c>
      <c r="I10" s="4"/>
      <c r="J10" s="4">
        <v>3</v>
      </c>
      <c r="K10" s="4">
        <v>12</v>
      </c>
    </row>
    <row r="11" spans="1:11" x14ac:dyDescent="0.25">
      <c r="A11" t="s">
        <v>262</v>
      </c>
      <c r="B11" t="s">
        <v>43</v>
      </c>
      <c r="C11" s="4"/>
      <c r="D11" s="4">
        <v>3</v>
      </c>
      <c r="E11" s="4"/>
      <c r="F11" s="4"/>
      <c r="G11" s="4">
        <v>3</v>
      </c>
      <c r="H11" s="4">
        <v>3</v>
      </c>
      <c r="I11" s="4"/>
      <c r="J11" s="4">
        <v>3</v>
      </c>
      <c r="K11" s="4">
        <v>12</v>
      </c>
    </row>
    <row r="12" spans="1:11" x14ac:dyDescent="0.25">
      <c r="B12" t="s">
        <v>721</v>
      </c>
      <c r="C12" s="4">
        <v>3</v>
      </c>
      <c r="D12" s="4"/>
      <c r="E12" s="4">
        <v>3</v>
      </c>
      <c r="F12" s="4">
        <v>3</v>
      </c>
      <c r="G12" s="4"/>
      <c r="H12" s="4"/>
      <c r="I12" s="4">
        <v>3</v>
      </c>
      <c r="J12" s="4"/>
      <c r="K12" s="4">
        <v>12</v>
      </c>
    </row>
    <row r="13" spans="1:11" x14ac:dyDescent="0.25">
      <c r="A13" t="s">
        <v>676</v>
      </c>
      <c r="B13" t="s">
        <v>6</v>
      </c>
      <c r="C13" s="4"/>
      <c r="D13" s="4">
        <v>3</v>
      </c>
      <c r="E13" s="4"/>
      <c r="F13" s="4"/>
      <c r="G13" s="4">
        <v>3</v>
      </c>
      <c r="H13" s="4">
        <v>3</v>
      </c>
      <c r="I13" s="4"/>
      <c r="J13" s="4">
        <v>3</v>
      </c>
      <c r="K13" s="4">
        <v>12</v>
      </c>
    </row>
    <row r="14" spans="1:11" x14ac:dyDescent="0.25">
      <c r="B14" t="s">
        <v>721</v>
      </c>
      <c r="C14" s="4">
        <v>3</v>
      </c>
      <c r="D14" s="4"/>
      <c r="E14" s="4">
        <v>3</v>
      </c>
      <c r="F14" s="4">
        <v>3</v>
      </c>
      <c r="G14" s="4"/>
      <c r="H14" s="4"/>
      <c r="I14" s="4">
        <v>3</v>
      </c>
      <c r="J14" s="4"/>
      <c r="K14" s="4">
        <v>12</v>
      </c>
    </row>
    <row r="15" spans="1:11" x14ac:dyDescent="0.25">
      <c r="A15" t="s">
        <v>677</v>
      </c>
      <c r="B15" t="s">
        <v>7</v>
      </c>
      <c r="C15" s="4"/>
      <c r="D15" s="4">
        <v>3</v>
      </c>
      <c r="E15" s="4"/>
      <c r="F15" s="4"/>
      <c r="G15" s="4">
        <v>3</v>
      </c>
      <c r="H15" s="4">
        <v>3</v>
      </c>
      <c r="I15" s="4"/>
      <c r="J15" s="4">
        <v>3</v>
      </c>
      <c r="K15" s="4">
        <v>12</v>
      </c>
    </row>
    <row r="16" spans="1:11" x14ac:dyDescent="0.25">
      <c r="B16" t="s">
        <v>721</v>
      </c>
      <c r="C16" s="4"/>
      <c r="D16" s="4"/>
      <c r="E16" s="4">
        <v>3</v>
      </c>
      <c r="F16" s="4"/>
      <c r="G16" s="4"/>
      <c r="H16" s="4"/>
      <c r="I16" s="4">
        <v>3</v>
      </c>
      <c r="J16" s="4"/>
      <c r="K16" s="4">
        <v>6</v>
      </c>
    </row>
    <row r="17" spans="1:11" x14ac:dyDescent="0.25">
      <c r="A17" t="s">
        <v>678</v>
      </c>
      <c r="B17" t="s">
        <v>6</v>
      </c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5">
      <c r="B18" t="s">
        <v>721</v>
      </c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t="s">
        <v>679</v>
      </c>
      <c r="B19" t="s">
        <v>5</v>
      </c>
      <c r="C19" s="4"/>
      <c r="D19" s="4">
        <v>2</v>
      </c>
      <c r="E19" s="4"/>
      <c r="F19" s="4"/>
      <c r="G19" s="4">
        <v>2</v>
      </c>
      <c r="H19" s="4">
        <v>2</v>
      </c>
      <c r="I19" s="4"/>
      <c r="J19" s="4">
        <v>2</v>
      </c>
      <c r="K19" s="4">
        <v>8</v>
      </c>
    </row>
    <row r="20" spans="1:11" x14ac:dyDescent="0.25">
      <c r="B20" t="s">
        <v>721</v>
      </c>
      <c r="C20" s="4">
        <v>3</v>
      </c>
      <c r="D20" s="4">
        <v>1</v>
      </c>
      <c r="E20" s="4">
        <v>3</v>
      </c>
      <c r="F20" s="4">
        <v>3</v>
      </c>
      <c r="G20" s="4">
        <v>1</v>
      </c>
      <c r="H20" s="4">
        <v>1</v>
      </c>
      <c r="I20" s="4">
        <v>3</v>
      </c>
      <c r="J20" s="4">
        <v>1</v>
      </c>
      <c r="K20" s="4">
        <v>16</v>
      </c>
    </row>
    <row r="21" spans="1:11" x14ac:dyDescent="0.25">
      <c r="A21" t="s">
        <v>680</v>
      </c>
      <c r="B21" t="s">
        <v>6</v>
      </c>
      <c r="C21" s="4"/>
      <c r="D21" s="4">
        <v>3</v>
      </c>
      <c r="E21" s="4"/>
      <c r="F21" s="4"/>
      <c r="G21" s="4">
        <v>3</v>
      </c>
      <c r="H21" s="4">
        <v>3</v>
      </c>
      <c r="I21" s="4"/>
      <c r="J21" s="4">
        <v>3</v>
      </c>
      <c r="K21" s="4">
        <v>12</v>
      </c>
    </row>
    <row r="22" spans="1:11" x14ac:dyDescent="0.25">
      <c r="B22" t="s">
        <v>721</v>
      </c>
      <c r="C22" s="4">
        <v>3</v>
      </c>
      <c r="D22" s="4"/>
      <c r="E22" s="4">
        <v>3</v>
      </c>
      <c r="F22" s="4">
        <v>3</v>
      </c>
      <c r="G22" s="4"/>
      <c r="H22" s="4"/>
      <c r="I22" s="4">
        <v>3</v>
      </c>
      <c r="J22" s="4"/>
      <c r="K22" s="4">
        <v>12</v>
      </c>
    </row>
    <row r="23" spans="1:11" x14ac:dyDescent="0.25">
      <c r="A23" t="s">
        <v>681</v>
      </c>
      <c r="B23">
        <v>0</v>
      </c>
      <c r="C23" s="4"/>
      <c r="D23" s="4">
        <v>2</v>
      </c>
      <c r="E23" s="4"/>
      <c r="F23" s="4"/>
      <c r="G23" s="4"/>
      <c r="H23" s="4"/>
      <c r="I23" s="4"/>
      <c r="J23" s="4"/>
      <c r="K23" s="4">
        <v>2</v>
      </c>
    </row>
    <row r="24" spans="1:11" x14ac:dyDescent="0.25">
      <c r="B24" t="s">
        <v>5</v>
      </c>
      <c r="C24" s="4"/>
      <c r="D24" s="4"/>
      <c r="E24" s="4"/>
      <c r="F24" s="4"/>
      <c r="G24" s="4">
        <v>2</v>
      </c>
      <c r="H24" s="4">
        <v>2</v>
      </c>
      <c r="I24" s="4"/>
      <c r="J24" s="4">
        <v>2</v>
      </c>
      <c r="K24" s="4">
        <v>6</v>
      </c>
    </row>
    <row r="25" spans="1:11" x14ac:dyDescent="0.25">
      <c r="B25" t="s">
        <v>721</v>
      </c>
      <c r="C25" s="4"/>
      <c r="D25" s="4"/>
      <c r="E25" s="4">
        <v>2</v>
      </c>
      <c r="F25" s="4">
        <v>2</v>
      </c>
      <c r="G25" s="4"/>
      <c r="H25" s="4"/>
      <c r="I25" s="4">
        <v>2</v>
      </c>
      <c r="J25" s="4"/>
      <c r="K25" s="4">
        <v>6</v>
      </c>
    </row>
    <row r="26" spans="1:11" x14ac:dyDescent="0.25">
      <c r="A26" t="s">
        <v>682</v>
      </c>
      <c r="B26">
        <v>0</v>
      </c>
      <c r="C26" s="4"/>
      <c r="D26" s="4">
        <v>3</v>
      </c>
      <c r="E26" s="4"/>
      <c r="F26" s="4"/>
      <c r="G26" s="4"/>
      <c r="H26" s="4"/>
      <c r="I26" s="4"/>
      <c r="J26" s="4"/>
      <c r="K26" s="4">
        <v>3</v>
      </c>
    </row>
    <row r="27" spans="1:11" x14ac:dyDescent="0.25">
      <c r="B27" t="s">
        <v>6</v>
      </c>
      <c r="C27" s="4"/>
      <c r="D27" s="4"/>
      <c r="E27" s="4"/>
      <c r="F27" s="4"/>
      <c r="G27" s="4">
        <v>3</v>
      </c>
      <c r="H27" s="4">
        <v>3</v>
      </c>
      <c r="I27" s="4"/>
      <c r="J27" s="4">
        <v>3</v>
      </c>
      <c r="K27" s="4">
        <v>9</v>
      </c>
    </row>
    <row r="28" spans="1:11" x14ac:dyDescent="0.25">
      <c r="B28" t="s">
        <v>721</v>
      </c>
      <c r="C28" s="4"/>
      <c r="D28" s="4"/>
      <c r="E28" s="4">
        <v>3</v>
      </c>
      <c r="F28" s="4">
        <v>3</v>
      </c>
      <c r="G28" s="4"/>
      <c r="H28" s="4"/>
      <c r="I28" s="4">
        <v>3</v>
      </c>
      <c r="J28" s="4"/>
      <c r="K28" s="4">
        <v>9</v>
      </c>
    </row>
    <row r="29" spans="1:11" x14ac:dyDescent="0.25">
      <c r="A29" t="s">
        <v>683</v>
      </c>
      <c r="B29" t="s">
        <v>721</v>
      </c>
      <c r="C29" s="4">
        <v>3</v>
      </c>
      <c r="D29" s="4"/>
      <c r="E29" s="4"/>
      <c r="F29" s="4">
        <v>1</v>
      </c>
      <c r="G29" s="4"/>
      <c r="H29" s="4"/>
      <c r="I29" s="4"/>
      <c r="J29" s="4"/>
      <c r="K29" s="4">
        <v>4</v>
      </c>
    </row>
    <row r="30" spans="1:11" x14ac:dyDescent="0.25">
      <c r="A30" t="s">
        <v>684</v>
      </c>
      <c r="B30">
        <v>0</v>
      </c>
      <c r="C30" s="4"/>
      <c r="D30" s="4"/>
      <c r="E30" s="4"/>
      <c r="F30" s="4"/>
      <c r="G30" s="4"/>
      <c r="H30" s="4"/>
      <c r="I30" s="4"/>
      <c r="J30" s="4"/>
      <c r="K30" s="4"/>
    </row>
    <row r="31" spans="1:11" x14ac:dyDescent="0.25">
      <c r="A31" t="s">
        <v>685</v>
      </c>
      <c r="B31">
        <v>0</v>
      </c>
      <c r="C31" s="4"/>
      <c r="D31" s="4"/>
      <c r="E31" s="4"/>
      <c r="F31" s="4"/>
      <c r="G31" s="4"/>
      <c r="H31" s="4"/>
      <c r="I31" s="4"/>
      <c r="J31" s="4"/>
      <c r="K31" s="4"/>
    </row>
    <row r="32" spans="1:11" x14ac:dyDescent="0.25">
      <c r="A32" t="s">
        <v>686</v>
      </c>
      <c r="B32" t="s">
        <v>6</v>
      </c>
      <c r="C32" s="4"/>
      <c r="D32" s="4"/>
      <c r="E32" s="4"/>
      <c r="F32" s="4"/>
      <c r="G32" s="4"/>
      <c r="H32" s="4"/>
      <c r="I32" s="4"/>
      <c r="J32" s="4"/>
      <c r="K32" s="4"/>
    </row>
    <row r="33" spans="1:11" x14ac:dyDescent="0.25">
      <c r="B33" t="s">
        <v>721</v>
      </c>
      <c r="C33" s="4"/>
      <c r="D33" s="4"/>
      <c r="E33" s="4"/>
      <c r="F33" s="4"/>
      <c r="G33" s="4"/>
      <c r="H33" s="4"/>
      <c r="I33" s="4"/>
      <c r="J33" s="4"/>
      <c r="K33" s="4"/>
    </row>
    <row r="34" spans="1:11" x14ac:dyDescent="0.25">
      <c r="A34" t="s">
        <v>687</v>
      </c>
      <c r="B34" t="s">
        <v>6</v>
      </c>
      <c r="C34" s="4"/>
      <c r="D34" s="4"/>
      <c r="E34" s="4"/>
      <c r="F34" s="4"/>
      <c r="G34" s="4"/>
      <c r="H34" s="4"/>
      <c r="I34" s="4"/>
      <c r="J34" s="4"/>
      <c r="K34" s="4"/>
    </row>
    <row r="35" spans="1:11" x14ac:dyDescent="0.25">
      <c r="B35" t="s">
        <v>721</v>
      </c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25">
      <c r="A36" t="s">
        <v>688</v>
      </c>
      <c r="B36" t="s">
        <v>5</v>
      </c>
      <c r="C36" s="4"/>
      <c r="D36" s="4">
        <v>2</v>
      </c>
      <c r="E36" s="4"/>
      <c r="F36" s="4"/>
      <c r="G36" s="4">
        <v>2</v>
      </c>
      <c r="H36" s="4">
        <v>2</v>
      </c>
      <c r="I36" s="4"/>
      <c r="J36" s="4">
        <v>2</v>
      </c>
      <c r="K36" s="4">
        <v>8</v>
      </c>
    </row>
    <row r="37" spans="1:11" x14ac:dyDescent="0.25">
      <c r="B37" t="s">
        <v>721</v>
      </c>
      <c r="C37" s="4"/>
      <c r="D37" s="4"/>
      <c r="E37" s="4">
        <v>2</v>
      </c>
      <c r="F37" s="4">
        <v>2</v>
      </c>
      <c r="G37" s="4"/>
      <c r="H37" s="4"/>
      <c r="I37" s="4">
        <v>2</v>
      </c>
      <c r="J37" s="4"/>
      <c r="K37" s="4">
        <v>6</v>
      </c>
    </row>
    <row r="38" spans="1:11" x14ac:dyDescent="0.25">
      <c r="A38" t="s">
        <v>689</v>
      </c>
      <c r="B38">
        <v>0</v>
      </c>
      <c r="C38" s="4"/>
      <c r="D38" s="4">
        <v>2</v>
      </c>
      <c r="E38" s="4"/>
      <c r="F38" s="4"/>
      <c r="G38" s="4"/>
      <c r="H38" s="4">
        <v>2</v>
      </c>
      <c r="I38" s="4"/>
      <c r="J38" s="4"/>
      <c r="K38" s="4">
        <v>4</v>
      </c>
    </row>
    <row r="39" spans="1:11" x14ac:dyDescent="0.25">
      <c r="A39" t="s">
        <v>690</v>
      </c>
      <c r="B39">
        <v>0</v>
      </c>
      <c r="C39" s="4"/>
      <c r="D39" s="4"/>
      <c r="E39" s="4"/>
      <c r="F39" s="4"/>
      <c r="G39" s="4">
        <v>2</v>
      </c>
      <c r="H39" s="4">
        <v>2</v>
      </c>
      <c r="I39" s="4">
        <v>1</v>
      </c>
      <c r="J39" s="4">
        <v>2</v>
      </c>
      <c r="K39" s="4">
        <v>7</v>
      </c>
    </row>
    <row r="40" spans="1:11" x14ac:dyDescent="0.25">
      <c r="A40" t="s">
        <v>691</v>
      </c>
      <c r="B40" t="s">
        <v>6</v>
      </c>
      <c r="C40" s="4"/>
      <c r="D40" s="4"/>
      <c r="E40" s="4"/>
      <c r="F40" s="4"/>
      <c r="G40" s="4">
        <v>1</v>
      </c>
      <c r="H40" s="4"/>
      <c r="I40" s="4"/>
      <c r="J40" s="4">
        <v>1</v>
      </c>
      <c r="K40" s="4">
        <v>2</v>
      </c>
    </row>
    <row r="41" spans="1:11" x14ac:dyDescent="0.25">
      <c r="B41" t="s">
        <v>721</v>
      </c>
      <c r="C41" s="4"/>
      <c r="D41" s="4"/>
      <c r="E41" s="4"/>
      <c r="F41" s="4"/>
      <c r="G41" s="4">
        <v>1</v>
      </c>
      <c r="H41" s="4"/>
      <c r="I41" s="4"/>
      <c r="J41" s="4">
        <v>1</v>
      </c>
      <c r="K41" s="4">
        <v>2</v>
      </c>
    </row>
    <row r="42" spans="1:11" x14ac:dyDescent="0.25">
      <c r="A42" t="s">
        <v>692</v>
      </c>
      <c r="B42" t="s">
        <v>6</v>
      </c>
      <c r="C42" s="4"/>
      <c r="D42" s="4"/>
      <c r="E42" s="4"/>
      <c r="F42" s="4"/>
      <c r="G42" s="4"/>
      <c r="H42" s="4"/>
      <c r="I42" s="4"/>
      <c r="J42" s="4">
        <v>1</v>
      </c>
      <c r="K42" s="4">
        <v>1</v>
      </c>
    </row>
    <row r="43" spans="1:11" x14ac:dyDescent="0.25">
      <c r="B43" t="s">
        <v>721</v>
      </c>
      <c r="C43" s="4"/>
      <c r="D43" s="4"/>
      <c r="E43" s="4"/>
      <c r="F43" s="4"/>
      <c r="G43" s="4"/>
      <c r="H43" s="4"/>
      <c r="I43" s="4"/>
      <c r="J43" s="4">
        <v>1</v>
      </c>
      <c r="K43" s="4">
        <v>1</v>
      </c>
    </row>
    <row r="44" spans="1:11" x14ac:dyDescent="0.25">
      <c r="A44" t="s">
        <v>693</v>
      </c>
      <c r="B44">
        <v>0</v>
      </c>
      <c r="C44" s="4"/>
      <c r="D44" s="4"/>
      <c r="E44" s="4"/>
      <c r="F44" s="4"/>
      <c r="G44" s="4"/>
      <c r="H44" s="4">
        <v>1</v>
      </c>
      <c r="I44" s="4"/>
      <c r="J44" s="4"/>
      <c r="K44" s="4">
        <v>1</v>
      </c>
    </row>
    <row r="45" spans="1:11" x14ac:dyDescent="0.25">
      <c r="A45" t="s">
        <v>694</v>
      </c>
      <c r="B45" t="s">
        <v>5</v>
      </c>
      <c r="C45" s="4"/>
      <c r="D45" s="4"/>
      <c r="E45" s="4"/>
      <c r="F45" s="4"/>
      <c r="G45" s="4"/>
      <c r="H45" s="4">
        <v>2</v>
      </c>
      <c r="I45" s="4"/>
      <c r="J45" s="4">
        <v>2</v>
      </c>
      <c r="K45" s="4">
        <v>4</v>
      </c>
    </row>
    <row r="46" spans="1:11" x14ac:dyDescent="0.25">
      <c r="B46" t="s">
        <v>721</v>
      </c>
      <c r="C46" s="4"/>
      <c r="D46" s="4"/>
      <c r="E46" s="4"/>
      <c r="F46" s="4">
        <v>2</v>
      </c>
      <c r="G46" s="4"/>
      <c r="H46" s="4"/>
      <c r="I46" s="4">
        <v>2</v>
      </c>
      <c r="J46" s="4"/>
      <c r="K46" s="4">
        <v>4</v>
      </c>
    </row>
    <row r="47" spans="1:11" x14ac:dyDescent="0.25">
      <c r="A47" t="s">
        <v>695</v>
      </c>
      <c r="B47">
        <v>0</v>
      </c>
      <c r="C47" s="4"/>
      <c r="D47" s="4">
        <v>2</v>
      </c>
      <c r="E47" s="4"/>
      <c r="F47" s="4"/>
      <c r="G47" s="4">
        <v>2</v>
      </c>
      <c r="H47" s="4">
        <v>2</v>
      </c>
      <c r="I47" s="4"/>
      <c r="J47" s="4"/>
      <c r="K47" s="4">
        <v>6</v>
      </c>
    </row>
    <row r="48" spans="1:11" x14ac:dyDescent="0.25">
      <c r="A48" t="s">
        <v>696</v>
      </c>
      <c r="B48" t="s">
        <v>6</v>
      </c>
      <c r="C48" s="4"/>
      <c r="D48" s="4"/>
      <c r="E48" s="4"/>
      <c r="F48" s="4"/>
      <c r="G48" s="4">
        <v>2</v>
      </c>
      <c r="H48" s="4"/>
      <c r="I48" s="4"/>
      <c r="J48" s="4"/>
      <c r="K48" s="4">
        <v>2</v>
      </c>
    </row>
    <row r="49" spans="1:11" x14ac:dyDescent="0.25">
      <c r="A49" t="s">
        <v>697</v>
      </c>
      <c r="B49" t="s">
        <v>6</v>
      </c>
      <c r="C49" s="4"/>
      <c r="D49" s="4"/>
      <c r="E49" s="4"/>
      <c r="F49" s="4"/>
      <c r="G49" s="4"/>
      <c r="H49" s="4">
        <v>2</v>
      </c>
      <c r="I49" s="4"/>
      <c r="J49" s="4">
        <v>2</v>
      </c>
      <c r="K49" s="4">
        <v>4</v>
      </c>
    </row>
    <row r="50" spans="1:11" x14ac:dyDescent="0.25">
      <c r="A50" t="s">
        <v>698</v>
      </c>
      <c r="B50" t="s">
        <v>5</v>
      </c>
      <c r="C50" s="4"/>
      <c r="D50" s="4">
        <v>2</v>
      </c>
      <c r="E50" s="4"/>
      <c r="F50" s="4"/>
      <c r="G50" s="4">
        <v>2</v>
      </c>
      <c r="H50" s="4">
        <v>2</v>
      </c>
      <c r="I50" s="4"/>
      <c r="J50" s="4">
        <v>2</v>
      </c>
      <c r="K50" s="4">
        <v>8</v>
      </c>
    </row>
    <row r="51" spans="1:11" x14ac:dyDescent="0.25">
      <c r="B51" t="s">
        <v>721</v>
      </c>
      <c r="C51" s="4">
        <v>3</v>
      </c>
      <c r="D51" s="4">
        <v>1</v>
      </c>
      <c r="E51" s="4">
        <v>3</v>
      </c>
      <c r="F51" s="4">
        <v>3</v>
      </c>
      <c r="G51" s="4">
        <v>1</v>
      </c>
      <c r="H51" s="4">
        <v>1</v>
      </c>
      <c r="I51" s="4">
        <v>3</v>
      </c>
      <c r="J51" s="4">
        <v>1</v>
      </c>
      <c r="K51" s="4">
        <v>16</v>
      </c>
    </row>
    <row r="52" spans="1:11" x14ac:dyDescent="0.25">
      <c r="A52" t="s">
        <v>699</v>
      </c>
      <c r="B52" t="s">
        <v>721</v>
      </c>
      <c r="C52" s="4">
        <v>3</v>
      </c>
      <c r="D52" s="4">
        <v>1</v>
      </c>
      <c r="E52" s="4">
        <v>3</v>
      </c>
      <c r="F52" s="4">
        <v>3</v>
      </c>
      <c r="G52" s="4">
        <v>1</v>
      </c>
      <c r="H52" s="4">
        <v>1</v>
      </c>
      <c r="I52" s="4">
        <v>3</v>
      </c>
      <c r="J52" s="4">
        <v>1</v>
      </c>
      <c r="K52" s="4">
        <v>16</v>
      </c>
    </row>
    <row r="53" spans="1:11" x14ac:dyDescent="0.25">
      <c r="A53" t="s">
        <v>700</v>
      </c>
      <c r="B53" t="s">
        <v>6</v>
      </c>
      <c r="C53" s="4"/>
      <c r="D53" s="4">
        <v>2</v>
      </c>
      <c r="E53" s="4"/>
      <c r="F53" s="4"/>
      <c r="G53" s="4">
        <v>2</v>
      </c>
      <c r="H53" s="4">
        <v>2</v>
      </c>
      <c r="I53" s="4"/>
      <c r="J53" s="4">
        <v>2</v>
      </c>
      <c r="K53" s="4">
        <v>8</v>
      </c>
    </row>
    <row r="54" spans="1:11" x14ac:dyDescent="0.25">
      <c r="B54" t="s">
        <v>721</v>
      </c>
      <c r="C54" s="4"/>
      <c r="D54" s="4"/>
      <c r="E54" s="4">
        <v>2</v>
      </c>
      <c r="F54" s="4">
        <v>2</v>
      </c>
      <c r="G54" s="4"/>
      <c r="H54" s="4"/>
      <c r="I54" s="4">
        <v>2</v>
      </c>
      <c r="J54" s="4"/>
      <c r="K54" s="4">
        <v>6</v>
      </c>
    </row>
    <row r="55" spans="1:11" x14ac:dyDescent="0.25">
      <c r="A55" t="s">
        <v>701</v>
      </c>
      <c r="B55" t="s">
        <v>43</v>
      </c>
      <c r="C55" s="4"/>
      <c r="D55" s="4">
        <v>3</v>
      </c>
      <c r="E55" s="4"/>
      <c r="F55" s="4"/>
      <c r="G55" s="4">
        <v>3</v>
      </c>
      <c r="H55" s="4">
        <v>3</v>
      </c>
      <c r="I55" s="4"/>
      <c r="J55" s="4">
        <v>3</v>
      </c>
      <c r="K55" s="4">
        <v>12</v>
      </c>
    </row>
    <row r="56" spans="1:11" x14ac:dyDescent="0.25">
      <c r="B56" t="s">
        <v>721</v>
      </c>
      <c r="C56" s="4">
        <v>3</v>
      </c>
      <c r="D56" s="4"/>
      <c r="E56" s="4">
        <v>3</v>
      </c>
      <c r="F56" s="4">
        <v>3</v>
      </c>
      <c r="G56" s="4"/>
      <c r="H56" s="4"/>
      <c r="I56" s="4">
        <v>3</v>
      </c>
      <c r="J56" s="4"/>
      <c r="K56" s="4">
        <v>12</v>
      </c>
    </row>
    <row r="57" spans="1:11" x14ac:dyDescent="0.25">
      <c r="A57" t="s">
        <v>702</v>
      </c>
      <c r="B57" t="s">
        <v>6</v>
      </c>
      <c r="C57" s="4"/>
      <c r="D57" s="4">
        <v>3</v>
      </c>
      <c r="E57" s="4"/>
      <c r="F57" s="4"/>
      <c r="G57" s="4">
        <v>3</v>
      </c>
      <c r="H57" s="4">
        <v>3</v>
      </c>
      <c r="I57" s="4"/>
      <c r="J57" s="4">
        <v>3</v>
      </c>
      <c r="K57" s="4">
        <v>12</v>
      </c>
    </row>
    <row r="58" spans="1:11" x14ac:dyDescent="0.25">
      <c r="B58" t="s">
        <v>721</v>
      </c>
      <c r="C58" s="4">
        <v>3</v>
      </c>
      <c r="D58" s="4"/>
      <c r="E58" s="4">
        <v>3</v>
      </c>
      <c r="F58" s="4">
        <v>3</v>
      </c>
      <c r="G58" s="4"/>
      <c r="H58" s="4"/>
      <c r="I58" s="4">
        <v>3</v>
      </c>
      <c r="J58" s="4"/>
      <c r="K58" s="4">
        <v>12</v>
      </c>
    </row>
    <row r="59" spans="1:11" x14ac:dyDescent="0.25">
      <c r="A59" t="s">
        <v>703</v>
      </c>
      <c r="B59" t="s">
        <v>6</v>
      </c>
      <c r="C59" s="4"/>
      <c r="D59" s="4">
        <v>3</v>
      </c>
      <c r="E59" s="4"/>
      <c r="F59" s="4"/>
      <c r="G59" s="4">
        <v>3</v>
      </c>
      <c r="H59" s="4">
        <v>3</v>
      </c>
      <c r="I59" s="4"/>
      <c r="J59" s="4">
        <v>3</v>
      </c>
      <c r="K59" s="4">
        <v>12</v>
      </c>
    </row>
    <row r="60" spans="1:11" x14ac:dyDescent="0.25">
      <c r="B60" t="s">
        <v>721</v>
      </c>
      <c r="C60" s="4">
        <v>3</v>
      </c>
      <c r="D60" s="4"/>
      <c r="E60" s="4">
        <v>3</v>
      </c>
      <c r="F60" s="4">
        <v>3</v>
      </c>
      <c r="G60" s="4"/>
      <c r="H60" s="4"/>
      <c r="I60" s="4">
        <v>3</v>
      </c>
      <c r="J60" s="4"/>
      <c r="K60" s="4">
        <v>12</v>
      </c>
    </row>
    <row r="61" spans="1:11" x14ac:dyDescent="0.25">
      <c r="A61" t="s">
        <v>704</v>
      </c>
      <c r="B61" t="s">
        <v>5</v>
      </c>
      <c r="C61" s="4"/>
      <c r="D61" s="4">
        <v>2</v>
      </c>
      <c r="E61" s="4"/>
      <c r="F61" s="4"/>
      <c r="G61" s="4">
        <v>2</v>
      </c>
      <c r="H61" s="4">
        <v>2</v>
      </c>
      <c r="I61" s="4"/>
      <c r="J61" s="4">
        <v>2</v>
      </c>
      <c r="K61" s="4">
        <v>8</v>
      </c>
    </row>
    <row r="62" spans="1:11" x14ac:dyDescent="0.25">
      <c r="B62" t="s">
        <v>721</v>
      </c>
      <c r="C62" s="4">
        <v>3</v>
      </c>
      <c r="D62" s="4">
        <v>1</v>
      </c>
      <c r="E62" s="4">
        <v>3</v>
      </c>
      <c r="F62" s="4">
        <v>3</v>
      </c>
      <c r="G62" s="4">
        <v>1</v>
      </c>
      <c r="H62" s="4">
        <v>1</v>
      </c>
      <c r="I62" s="4">
        <v>3</v>
      </c>
      <c r="J62" s="4">
        <v>1</v>
      </c>
      <c r="K62" s="4">
        <v>16</v>
      </c>
    </row>
    <row r="63" spans="1:11" x14ac:dyDescent="0.25">
      <c r="A63" t="s">
        <v>705</v>
      </c>
      <c r="B63">
        <v>0</v>
      </c>
      <c r="C63" s="4"/>
      <c r="D63" s="4">
        <v>2</v>
      </c>
      <c r="E63" s="4"/>
      <c r="F63" s="4"/>
      <c r="G63" s="4"/>
      <c r="H63" s="4">
        <v>2</v>
      </c>
      <c r="I63" s="4"/>
      <c r="J63" s="4"/>
      <c r="K63" s="4">
        <v>4</v>
      </c>
    </row>
    <row r="64" spans="1:11" x14ac:dyDescent="0.25">
      <c r="B64" t="s">
        <v>6</v>
      </c>
      <c r="C64" s="4"/>
      <c r="D64" s="4"/>
      <c r="E64" s="4"/>
      <c r="F64" s="4"/>
      <c r="G64" s="4">
        <v>2</v>
      </c>
      <c r="H64" s="4"/>
      <c r="I64" s="4"/>
      <c r="J64" s="4"/>
      <c r="K64" s="4">
        <v>2</v>
      </c>
    </row>
    <row r="65" spans="1:11" x14ac:dyDescent="0.25">
      <c r="B65" t="s">
        <v>721</v>
      </c>
      <c r="C65" s="4"/>
      <c r="D65" s="4"/>
      <c r="E65" s="4">
        <v>2</v>
      </c>
      <c r="F65" s="4"/>
      <c r="G65" s="4"/>
      <c r="H65" s="4"/>
      <c r="I65" s="4"/>
      <c r="J65" s="4"/>
      <c r="K65" s="4">
        <v>2</v>
      </c>
    </row>
    <row r="66" spans="1:11" x14ac:dyDescent="0.25">
      <c r="A66" t="s">
        <v>706</v>
      </c>
      <c r="B66" t="s">
        <v>5</v>
      </c>
      <c r="C66" s="4"/>
      <c r="D66" s="4"/>
      <c r="E66" s="4"/>
      <c r="F66" s="4"/>
      <c r="G66" s="4"/>
      <c r="H66" s="4">
        <v>1</v>
      </c>
      <c r="I66" s="4"/>
      <c r="J66" s="4"/>
      <c r="K66" s="4">
        <v>1</v>
      </c>
    </row>
    <row r="67" spans="1:11" x14ac:dyDescent="0.25">
      <c r="B67" t="s">
        <v>721</v>
      </c>
      <c r="C67" s="4"/>
      <c r="D67" s="4"/>
      <c r="E67" s="4">
        <v>2</v>
      </c>
      <c r="F67" s="4">
        <v>2</v>
      </c>
      <c r="G67" s="4"/>
      <c r="H67" s="4">
        <v>1</v>
      </c>
      <c r="I67" s="4">
        <v>2</v>
      </c>
      <c r="J67" s="4"/>
      <c r="K67" s="4">
        <v>7</v>
      </c>
    </row>
    <row r="68" spans="1:11" x14ac:dyDescent="0.25">
      <c r="A68" t="s">
        <v>707</v>
      </c>
      <c r="B68" t="s">
        <v>721</v>
      </c>
      <c r="C68" s="4"/>
      <c r="D68" s="4"/>
      <c r="E68" s="4"/>
      <c r="F68" s="4"/>
      <c r="G68" s="4"/>
      <c r="H68" s="4"/>
      <c r="I68" s="4"/>
      <c r="J68" s="4"/>
      <c r="K68" s="4"/>
    </row>
    <row r="69" spans="1:11" x14ac:dyDescent="0.25">
      <c r="A69" t="s">
        <v>708</v>
      </c>
      <c r="B69" t="s">
        <v>5</v>
      </c>
      <c r="C69" s="4"/>
      <c r="D69" s="4">
        <v>2</v>
      </c>
      <c r="E69" s="4"/>
      <c r="F69" s="4"/>
      <c r="G69" s="4">
        <v>2</v>
      </c>
      <c r="H69" s="4">
        <v>2</v>
      </c>
      <c r="I69" s="4"/>
      <c r="J69" s="4">
        <v>2</v>
      </c>
      <c r="K69" s="4">
        <v>8</v>
      </c>
    </row>
    <row r="70" spans="1:11" x14ac:dyDescent="0.25">
      <c r="B70" t="s">
        <v>721</v>
      </c>
      <c r="C70" s="4">
        <v>3</v>
      </c>
      <c r="D70" s="4">
        <v>1</v>
      </c>
      <c r="E70" s="4">
        <v>3</v>
      </c>
      <c r="F70" s="4">
        <v>3</v>
      </c>
      <c r="G70" s="4">
        <v>1</v>
      </c>
      <c r="H70" s="4">
        <v>1</v>
      </c>
      <c r="I70" s="4">
        <v>3</v>
      </c>
      <c r="J70" s="4">
        <v>1</v>
      </c>
      <c r="K70" s="4">
        <v>16</v>
      </c>
    </row>
    <row r="71" spans="1:11" x14ac:dyDescent="0.25">
      <c r="A71" t="s">
        <v>709</v>
      </c>
      <c r="B71" t="s">
        <v>6</v>
      </c>
      <c r="C71" s="4"/>
      <c r="D71" s="4">
        <v>2</v>
      </c>
      <c r="E71" s="4"/>
      <c r="F71" s="4"/>
      <c r="G71" s="4">
        <v>2</v>
      </c>
      <c r="H71" s="4">
        <v>2</v>
      </c>
      <c r="I71" s="4"/>
      <c r="J71" s="4">
        <v>2</v>
      </c>
      <c r="K71" s="4">
        <v>8</v>
      </c>
    </row>
    <row r="72" spans="1:11" x14ac:dyDescent="0.25">
      <c r="B72" t="s">
        <v>721</v>
      </c>
      <c r="C72" s="4"/>
      <c r="D72" s="4"/>
      <c r="E72" s="4">
        <v>2</v>
      </c>
      <c r="F72" s="4">
        <v>2</v>
      </c>
      <c r="G72" s="4"/>
      <c r="H72" s="4"/>
      <c r="I72" s="4">
        <v>2</v>
      </c>
      <c r="J72" s="4"/>
      <c r="K72" s="4">
        <v>6</v>
      </c>
    </row>
    <row r="73" spans="1:11" x14ac:dyDescent="0.25">
      <c r="A73" t="s">
        <v>710</v>
      </c>
      <c r="B73" t="s">
        <v>5</v>
      </c>
      <c r="C73" s="4"/>
      <c r="D73" s="4"/>
      <c r="E73" s="4"/>
      <c r="F73" s="4"/>
      <c r="G73" s="4">
        <v>2</v>
      </c>
      <c r="H73" s="4">
        <v>2</v>
      </c>
      <c r="I73" s="4"/>
      <c r="J73" s="4">
        <v>2</v>
      </c>
      <c r="K73" s="4">
        <v>6</v>
      </c>
    </row>
    <row r="74" spans="1:11" x14ac:dyDescent="0.25">
      <c r="B74" t="s">
        <v>6</v>
      </c>
      <c r="C74" s="4"/>
      <c r="D74" s="4">
        <v>2</v>
      </c>
      <c r="E74" s="4"/>
      <c r="F74" s="4"/>
      <c r="G74" s="4"/>
      <c r="H74" s="4"/>
      <c r="I74" s="4"/>
      <c r="J74" s="4"/>
      <c r="K74" s="4">
        <v>2</v>
      </c>
    </row>
    <row r="75" spans="1:11" x14ac:dyDescent="0.25">
      <c r="B75" t="s">
        <v>721</v>
      </c>
      <c r="C75" s="4"/>
      <c r="D75" s="4"/>
      <c r="E75" s="4">
        <v>2</v>
      </c>
      <c r="F75" s="4">
        <v>2</v>
      </c>
      <c r="G75" s="4"/>
      <c r="H75" s="4"/>
      <c r="I75" s="4">
        <v>2</v>
      </c>
      <c r="J75" s="4"/>
      <c r="K75" s="4">
        <v>6</v>
      </c>
    </row>
    <row r="76" spans="1:11" x14ac:dyDescent="0.25">
      <c r="A76" t="s">
        <v>711</v>
      </c>
      <c r="B76" t="s">
        <v>6</v>
      </c>
      <c r="C76" s="4"/>
      <c r="D76" s="4"/>
      <c r="E76" s="4"/>
      <c r="F76" s="4"/>
      <c r="G76" s="4"/>
      <c r="H76" s="4"/>
      <c r="I76" s="4"/>
      <c r="J76" s="4"/>
      <c r="K76" s="4"/>
    </row>
    <row r="77" spans="1:11" x14ac:dyDescent="0.25">
      <c r="A77" t="s">
        <v>712</v>
      </c>
      <c r="B77" t="s">
        <v>6</v>
      </c>
      <c r="C77" s="4"/>
      <c r="D77" s="4"/>
      <c r="E77" s="4"/>
      <c r="F77" s="4"/>
      <c r="G77" s="4"/>
      <c r="H77" s="4"/>
      <c r="I77" s="4"/>
      <c r="J77" s="4"/>
      <c r="K77" s="4"/>
    </row>
    <row r="78" spans="1:11" x14ac:dyDescent="0.25">
      <c r="A78" t="s">
        <v>713</v>
      </c>
      <c r="B78" t="s">
        <v>5</v>
      </c>
      <c r="C78" s="4"/>
      <c r="D78" s="4"/>
      <c r="E78" s="4"/>
      <c r="F78" s="4"/>
      <c r="G78" s="4"/>
      <c r="H78" s="4"/>
      <c r="I78" s="4"/>
      <c r="J78" s="4"/>
      <c r="K78" s="4"/>
    </row>
    <row r="79" spans="1:11" x14ac:dyDescent="0.25">
      <c r="B79" t="s">
        <v>6</v>
      </c>
      <c r="C79" s="4"/>
      <c r="D79" s="4"/>
      <c r="E79" s="4"/>
      <c r="F79" s="4"/>
      <c r="G79" s="4"/>
      <c r="H79" s="4"/>
      <c r="I79" s="4"/>
      <c r="J79" s="4"/>
      <c r="K79" s="4"/>
    </row>
    <row r="80" spans="1:11" x14ac:dyDescent="0.25">
      <c r="B80" t="s">
        <v>721</v>
      </c>
      <c r="C80" s="4"/>
      <c r="D80" s="4"/>
      <c r="E80" s="4"/>
      <c r="F80" s="4"/>
      <c r="G80" s="4"/>
      <c r="H80" s="4"/>
      <c r="I80" s="4"/>
      <c r="J80" s="4"/>
      <c r="K80" s="4"/>
    </row>
    <row r="81" spans="1:11" x14ac:dyDescent="0.25">
      <c r="A81" t="s">
        <v>714</v>
      </c>
      <c r="B81" t="s">
        <v>6</v>
      </c>
      <c r="C81" s="4"/>
      <c r="D81" s="4"/>
      <c r="E81" s="4"/>
      <c r="F81" s="4"/>
      <c r="G81" s="4"/>
      <c r="H81" s="4"/>
      <c r="I81" s="4"/>
      <c r="J81" s="4"/>
      <c r="K81" s="4"/>
    </row>
    <row r="82" spans="1:11" x14ac:dyDescent="0.25">
      <c r="A82" t="s">
        <v>715</v>
      </c>
      <c r="B82" t="s">
        <v>5</v>
      </c>
      <c r="C82" s="4"/>
      <c r="D82" s="4"/>
      <c r="E82" s="4"/>
      <c r="F82" s="4"/>
      <c r="G82" s="4"/>
      <c r="H82" s="4"/>
      <c r="I82" s="4"/>
      <c r="J82" s="4"/>
      <c r="K82" s="4"/>
    </row>
    <row r="83" spans="1:11" x14ac:dyDescent="0.25">
      <c r="B83" t="s">
        <v>6</v>
      </c>
      <c r="C83" s="4"/>
      <c r="D83" s="4"/>
      <c r="E83" s="4"/>
      <c r="F83" s="4"/>
      <c r="G83" s="4"/>
      <c r="H83" s="4"/>
      <c r="I83" s="4"/>
      <c r="J83" s="4"/>
      <c r="K83" s="4"/>
    </row>
    <row r="84" spans="1:11" x14ac:dyDescent="0.25">
      <c r="B84" t="s">
        <v>721</v>
      </c>
      <c r="C84" s="4"/>
      <c r="D84" s="4"/>
      <c r="E84" s="4"/>
      <c r="F84" s="4"/>
      <c r="G84" s="4"/>
      <c r="H84" s="4"/>
      <c r="I84" s="4"/>
      <c r="J84" s="4"/>
      <c r="K84" s="4"/>
    </row>
    <row r="85" spans="1:11" x14ac:dyDescent="0.25">
      <c r="A85" t="s">
        <v>716</v>
      </c>
      <c r="B85" t="s">
        <v>6</v>
      </c>
      <c r="C85" s="4"/>
      <c r="D85" s="4"/>
      <c r="E85" s="4"/>
      <c r="F85" s="4"/>
      <c r="G85" s="4"/>
      <c r="H85" s="4"/>
      <c r="I85" s="4"/>
      <c r="J85" s="4"/>
      <c r="K85" s="4"/>
    </row>
    <row r="86" spans="1:11" x14ac:dyDescent="0.25">
      <c r="A86" t="s">
        <v>717</v>
      </c>
      <c r="B86" t="s">
        <v>5</v>
      </c>
      <c r="C86" s="4"/>
      <c r="D86" s="4"/>
      <c r="E86" s="4"/>
      <c r="F86" s="4"/>
      <c r="G86" s="4"/>
      <c r="H86" s="4"/>
      <c r="I86" s="4"/>
      <c r="J86" s="4"/>
      <c r="K86" s="4"/>
    </row>
    <row r="87" spans="1:11" x14ac:dyDescent="0.25">
      <c r="B87" t="s">
        <v>721</v>
      </c>
      <c r="C87" s="4"/>
      <c r="D87" s="4"/>
      <c r="E87" s="4"/>
      <c r="F87" s="4"/>
      <c r="G87" s="4"/>
      <c r="H87" s="4"/>
      <c r="I87" s="4"/>
      <c r="J87" s="4"/>
      <c r="K87" s="4"/>
    </row>
    <row r="88" spans="1:11" x14ac:dyDescent="0.25">
      <c r="A88" t="s">
        <v>718</v>
      </c>
      <c r="B88" t="s">
        <v>6</v>
      </c>
      <c r="C88" s="4"/>
      <c r="D88" s="4"/>
      <c r="E88" s="4"/>
      <c r="F88" s="4"/>
      <c r="G88" s="4"/>
      <c r="H88" s="4"/>
      <c r="I88" s="4"/>
      <c r="J88" s="4"/>
      <c r="K88" s="4"/>
    </row>
    <row r="89" spans="1:11" x14ac:dyDescent="0.25">
      <c r="A89" t="s">
        <v>719</v>
      </c>
      <c r="B89">
        <v>0</v>
      </c>
      <c r="C89" s="4"/>
      <c r="D89" s="4"/>
      <c r="E89" s="4"/>
      <c r="F89" s="4"/>
      <c r="G89" s="4">
        <v>1</v>
      </c>
      <c r="H89" s="4"/>
      <c r="I89" s="4"/>
      <c r="J89" s="4">
        <v>1</v>
      </c>
      <c r="K89" s="4">
        <v>2</v>
      </c>
    </row>
    <row r="90" spans="1:11" x14ac:dyDescent="0.25">
      <c r="A90" t="s">
        <v>720</v>
      </c>
      <c r="C90" s="4">
        <v>42</v>
      </c>
      <c r="D90" s="4">
        <v>65</v>
      </c>
      <c r="E90" s="4">
        <v>62</v>
      </c>
      <c r="F90" s="4">
        <v>57</v>
      </c>
      <c r="G90" s="4">
        <v>73</v>
      </c>
      <c r="H90" s="4">
        <v>74</v>
      </c>
      <c r="I90" s="4">
        <v>63</v>
      </c>
      <c r="J90" s="4">
        <v>73</v>
      </c>
      <c r="K90" s="4">
        <v>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0115-21BD-4357-961E-13BCB1E0CA9D}">
  <dimension ref="A1:AU610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defaultRowHeight="15" x14ac:dyDescent="0.25"/>
  <cols>
    <col min="14" max="14" width="10" bestFit="1" customWidth="1"/>
  </cols>
  <sheetData>
    <row r="1" spans="1:47" x14ac:dyDescent="0.25">
      <c r="A1" t="s">
        <v>671</v>
      </c>
      <c r="B1" t="s">
        <v>670</v>
      </c>
      <c r="F1" t="s">
        <v>668</v>
      </c>
      <c r="I1" t="s">
        <v>669</v>
      </c>
    </row>
    <row r="2" spans="1:47" x14ac:dyDescent="0.25">
      <c r="A2" t="s">
        <v>0</v>
      </c>
      <c r="B2" s="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663</v>
      </c>
      <c r="N2" s="2" t="s">
        <v>664</v>
      </c>
      <c r="O2" t="s">
        <v>12</v>
      </c>
      <c r="P2" t="s">
        <v>13</v>
      </c>
      <c r="Q2" t="s">
        <v>14</v>
      </c>
      <c r="R2" s="1" t="s">
        <v>12</v>
      </c>
      <c r="S2" s="1" t="s">
        <v>665</v>
      </c>
      <c r="T2" s="1" t="s">
        <v>666</v>
      </c>
      <c r="U2" s="1" t="s">
        <v>13</v>
      </c>
      <c r="V2" s="1" t="s">
        <v>14</v>
      </c>
      <c r="W2" s="1" t="s">
        <v>667</v>
      </c>
      <c r="X2" t="s">
        <v>15</v>
      </c>
      <c r="Y2" t="s">
        <v>16</v>
      </c>
      <c r="Z2" t="s">
        <v>17</v>
      </c>
      <c r="AA2" t="s">
        <v>18</v>
      </c>
      <c r="AB2" t="s">
        <v>19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29</v>
      </c>
      <c r="AM2" t="s">
        <v>30</v>
      </c>
      <c r="AN2" t="s">
        <v>31</v>
      </c>
      <c r="AO2" t="s">
        <v>32</v>
      </c>
      <c r="AP2" t="s">
        <v>33</v>
      </c>
      <c r="AQ2" t="s">
        <v>34</v>
      </c>
      <c r="AR2" t="s">
        <v>35</v>
      </c>
      <c r="AT2" t="s">
        <v>36</v>
      </c>
      <c r="AU2" t="s">
        <v>37</v>
      </c>
    </row>
    <row r="3" spans="1:47" x14ac:dyDescent="0.25">
      <c r="A3" t="s">
        <v>38</v>
      </c>
      <c r="B3" t="s">
        <v>5</v>
      </c>
      <c r="F3" t="s">
        <v>1</v>
      </c>
      <c r="I3" s="1" t="s">
        <v>5</v>
      </c>
      <c r="J3" s="1"/>
      <c r="K3" s="1"/>
      <c r="L3" s="1"/>
      <c r="M3" s="1" t="b">
        <v>0</v>
      </c>
      <c r="N3" s="1"/>
      <c r="O3">
        <v>0</v>
      </c>
      <c r="P3">
        <v>0</v>
      </c>
      <c r="Q3">
        <v>1</v>
      </c>
      <c r="R3" s="1">
        <f>COUNTIF(B3:E3,"b4")</f>
        <v>0</v>
      </c>
      <c r="S3" s="1">
        <f>VALUE(LEFT(A3,1))</f>
        <v>0</v>
      </c>
      <c r="T3" s="1">
        <f>COUNTIF(B3:E3,0)</f>
        <v>0</v>
      </c>
      <c r="U3" s="1">
        <f>S3+T3</f>
        <v>0</v>
      </c>
      <c r="V3" s="1">
        <f>VALUE(_xlfn.TEXTBEFORE(_xlfn.TEXTAFTER(A3,"_"),"_"))</f>
        <v>0</v>
      </c>
      <c r="W3" s="1" t="str">
        <f>_xlfn.TEXTAFTER(A3,"_",-1)</f>
        <v>1B</v>
      </c>
      <c r="X3" t="s">
        <v>39</v>
      </c>
      <c r="Y3" t="s">
        <v>39</v>
      </c>
      <c r="AJ3">
        <f>VALUE(IF(E3&lt;&gt;"","1","0")&amp;IF(D3&lt;&gt;"","1","0")&amp;IF(C3&lt;&gt;"","1","0"))</f>
        <v>0</v>
      </c>
      <c r="AK3">
        <f>VALUE(IF(H3&lt;&gt;"","1","0")&amp;IF(G3&lt;&gt;"","1","0")&amp;IF(F3&lt;&gt;"","1","0"))</f>
        <v>1</v>
      </c>
      <c r="AL3">
        <f>INDEX($AU$3:$AU$10,MATCH(AJ3,$AT$3:$AT$10,0))</f>
        <v>0</v>
      </c>
      <c r="AM3">
        <f t="shared" ref="AM3:AM66" si="0">INDEX($AU$3:$AU$10,MATCH(AK3,$AT$3:$AT$10,0))</f>
        <v>1</v>
      </c>
      <c r="AN3">
        <f>VALUE(_xlfn.TEXTBEFORE(_xlfn.TEXTAFTER(A3,"_"),"_"))</f>
        <v>0</v>
      </c>
      <c r="AO3">
        <f>Q3</f>
        <v>1</v>
      </c>
      <c r="AP3">
        <f>N(AL3&lt;&gt;AN3)</f>
        <v>0</v>
      </c>
      <c r="AQ3">
        <f t="shared" ref="AQ3:AQ66" si="1">N(AM3&lt;&gt;AO3)</f>
        <v>0</v>
      </c>
      <c r="AR3">
        <f>N(OR(AP3,AQ3))</f>
        <v>0</v>
      </c>
      <c r="AT3">
        <v>0</v>
      </c>
      <c r="AU3">
        <v>0</v>
      </c>
    </row>
    <row r="4" spans="1:47" x14ac:dyDescent="0.25">
      <c r="A4" t="s">
        <v>40</v>
      </c>
      <c r="B4" t="s">
        <v>5</v>
      </c>
      <c r="C4" t="s">
        <v>6</v>
      </c>
      <c r="F4" t="s">
        <v>1</v>
      </c>
      <c r="G4" t="s">
        <v>2</v>
      </c>
      <c r="I4" s="1" t="s">
        <v>5</v>
      </c>
      <c r="J4" s="1" t="s">
        <v>6</v>
      </c>
      <c r="K4" s="1"/>
      <c r="L4" s="1"/>
      <c r="M4" s="1" t="b">
        <v>0</v>
      </c>
      <c r="N4" s="1"/>
      <c r="O4">
        <v>0</v>
      </c>
      <c r="P4">
        <v>0</v>
      </c>
      <c r="Q4">
        <v>4</v>
      </c>
      <c r="R4" s="1">
        <f t="shared" ref="R4:R67" si="2">COUNTIF(B4:E4,"b4")</f>
        <v>0</v>
      </c>
      <c r="S4" s="1">
        <f t="shared" ref="S4:S67" si="3">VALUE(LEFT(A4,1))</f>
        <v>0</v>
      </c>
      <c r="T4" s="1">
        <f t="shared" ref="T4:T67" si="4">COUNTIF(B4:E4,0)</f>
        <v>0</v>
      </c>
      <c r="U4" s="1">
        <f t="shared" ref="U4:U67" si="5">S4+T4</f>
        <v>0</v>
      </c>
      <c r="V4" s="1">
        <f t="shared" ref="V4:V67" si="6">VALUE(_xlfn.TEXTBEFORE(_xlfn.TEXTAFTER(A4,"_"),"_"))</f>
        <v>1</v>
      </c>
      <c r="W4" s="1" t="str">
        <f t="shared" ref="W4:W67" si="7">_xlfn.TEXTAFTER(A4,"_",-1)</f>
        <v>1B</v>
      </c>
      <c r="X4" t="s">
        <v>39</v>
      </c>
      <c r="Y4" t="s">
        <v>39</v>
      </c>
      <c r="AJ4">
        <f t="shared" ref="AJ4:AJ67" si="8">VALUE(IF(E4&lt;&gt;"","1","0")&amp;IF(D4&lt;&gt;"","1","0")&amp;IF(C4&lt;&gt;"","1","0"))</f>
        <v>1</v>
      </c>
      <c r="AK4">
        <f t="shared" ref="AK4:AK67" si="9">VALUE(IF(H4&lt;&gt;"","1","0")&amp;IF(G4&lt;&gt;"","1","0")&amp;IF(F4&lt;&gt;"","1","0"))</f>
        <v>11</v>
      </c>
      <c r="AL4">
        <f t="shared" ref="AL4:AL67" si="10">INDEX($AU$3:$AU$10,MATCH(AJ4,$AT$3:$AT$10,0))</f>
        <v>1</v>
      </c>
      <c r="AM4">
        <f t="shared" si="0"/>
        <v>4</v>
      </c>
      <c r="AN4">
        <f t="shared" ref="AN4:AN67" si="11">VALUE(_xlfn.TEXTBEFORE(_xlfn.TEXTAFTER(A4,"_"),"_"))</f>
        <v>1</v>
      </c>
      <c r="AO4">
        <f t="shared" ref="AO4:AO67" si="12">Q4</f>
        <v>4</v>
      </c>
      <c r="AP4">
        <f t="shared" ref="AP4:AP67" si="13">N(AL4&lt;&gt;AN4)</f>
        <v>0</v>
      </c>
      <c r="AQ4">
        <f t="shared" si="1"/>
        <v>0</v>
      </c>
      <c r="AR4">
        <f t="shared" ref="AR4:AR67" si="14">N(OR(AP4,AQ4))</f>
        <v>0</v>
      </c>
      <c r="AT4">
        <v>1</v>
      </c>
      <c r="AU4">
        <v>1</v>
      </c>
    </row>
    <row r="5" spans="1:47" x14ac:dyDescent="0.25">
      <c r="A5" t="s">
        <v>41</v>
      </c>
      <c r="B5" t="s">
        <v>5</v>
      </c>
      <c r="D5" t="s">
        <v>7</v>
      </c>
      <c r="F5" t="s">
        <v>1</v>
      </c>
      <c r="H5" t="s">
        <v>3</v>
      </c>
      <c r="I5" s="1" t="s">
        <v>5</v>
      </c>
      <c r="J5" s="1"/>
      <c r="K5" s="1" t="s">
        <v>7</v>
      </c>
      <c r="L5" s="1"/>
      <c r="M5" s="1" t="b">
        <v>0</v>
      </c>
      <c r="N5" s="1"/>
      <c r="O5">
        <v>0</v>
      </c>
      <c r="P5">
        <v>0</v>
      </c>
      <c r="Q5">
        <v>5</v>
      </c>
      <c r="R5" s="1">
        <f t="shared" si="2"/>
        <v>0</v>
      </c>
      <c r="S5" s="1">
        <f t="shared" si="3"/>
        <v>0</v>
      </c>
      <c r="T5" s="1">
        <f t="shared" si="4"/>
        <v>0</v>
      </c>
      <c r="U5" s="1">
        <f t="shared" si="5"/>
        <v>0</v>
      </c>
      <c r="V5" s="1">
        <f t="shared" si="6"/>
        <v>2</v>
      </c>
      <c r="W5" s="1" t="str">
        <f t="shared" si="7"/>
        <v>1B</v>
      </c>
      <c r="X5" t="s">
        <v>39</v>
      </c>
      <c r="Y5" t="s">
        <v>39</v>
      </c>
      <c r="AJ5">
        <f t="shared" si="8"/>
        <v>10</v>
      </c>
      <c r="AK5">
        <f t="shared" si="9"/>
        <v>101</v>
      </c>
      <c r="AL5">
        <f t="shared" si="10"/>
        <v>2</v>
      </c>
      <c r="AM5">
        <f t="shared" si="0"/>
        <v>5</v>
      </c>
      <c r="AN5">
        <f t="shared" si="11"/>
        <v>2</v>
      </c>
      <c r="AO5">
        <f t="shared" si="12"/>
        <v>5</v>
      </c>
      <c r="AP5">
        <f t="shared" si="13"/>
        <v>0</v>
      </c>
      <c r="AQ5">
        <f t="shared" si="1"/>
        <v>0</v>
      </c>
      <c r="AR5">
        <f t="shared" si="14"/>
        <v>0</v>
      </c>
      <c r="AT5">
        <v>10</v>
      </c>
      <c r="AU5">
        <v>2</v>
      </c>
    </row>
    <row r="6" spans="1:47" x14ac:dyDescent="0.25">
      <c r="A6" t="s">
        <v>42</v>
      </c>
      <c r="B6" t="s">
        <v>5</v>
      </c>
      <c r="E6" t="s">
        <v>43</v>
      </c>
      <c r="F6" t="s">
        <v>1</v>
      </c>
      <c r="I6" s="1" t="s">
        <v>5</v>
      </c>
      <c r="J6" s="1"/>
      <c r="K6" s="1"/>
      <c r="L6" s="1" t="s">
        <v>43</v>
      </c>
      <c r="M6" s="1" t="b">
        <v>0</v>
      </c>
      <c r="N6" s="1"/>
      <c r="O6">
        <v>1</v>
      </c>
      <c r="P6">
        <v>0</v>
      </c>
      <c r="Q6">
        <v>1</v>
      </c>
      <c r="R6" s="1">
        <f t="shared" si="2"/>
        <v>1</v>
      </c>
      <c r="S6" s="1">
        <f t="shared" si="3"/>
        <v>0</v>
      </c>
      <c r="T6" s="1">
        <f t="shared" si="4"/>
        <v>0</v>
      </c>
      <c r="U6" s="1">
        <f t="shared" si="5"/>
        <v>0</v>
      </c>
      <c r="V6" s="1">
        <f t="shared" si="6"/>
        <v>3</v>
      </c>
      <c r="W6" s="1" t="str">
        <f t="shared" si="7"/>
        <v>1B</v>
      </c>
      <c r="X6" t="s">
        <v>39</v>
      </c>
      <c r="Y6" t="s">
        <v>39</v>
      </c>
      <c r="AJ6">
        <f t="shared" si="8"/>
        <v>100</v>
      </c>
      <c r="AK6">
        <f t="shared" si="9"/>
        <v>1</v>
      </c>
      <c r="AL6">
        <f t="shared" si="10"/>
        <v>3</v>
      </c>
      <c r="AM6">
        <f t="shared" si="0"/>
        <v>1</v>
      </c>
      <c r="AN6">
        <f t="shared" si="11"/>
        <v>3</v>
      </c>
      <c r="AO6">
        <f t="shared" si="12"/>
        <v>1</v>
      </c>
      <c r="AP6">
        <f t="shared" si="13"/>
        <v>0</v>
      </c>
      <c r="AQ6">
        <f t="shared" si="1"/>
        <v>0</v>
      </c>
      <c r="AR6">
        <f t="shared" si="14"/>
        <v>0</v>
      </c>
      <c r="AT6">
        <v>100</v>
      </c>
      <c r="AU6">
        <v>3</v>
      </c>
    </row>
    <row r="7" spans="1:47" x14ac:dyDescent="0.25">
      <c r="A7" t="s">
        <v>44</v>
      </c>
      <c r="B7" t="s">
        <v>5</v>
      </c>
      <c r="C7" t="s">
        <v>6</v>
      </c>
      <c r="D7" t="s">
        <v>7</v>
      </c>
      <c r="F7" t="s">
        <v>1</v>
      </c>
      <c r="G7" t="s">
        <v>2</v>
      </c>
      <c r="H7" t="s">
        <v>3</v>
      </c>
      <c r="I7" s="1" t="s">
        <v>5</v>
      </c>
      <c r="J7" s="1" t="s">
        <v>6</v>
      </c>
      <c r="K7" s="1" t="s">
        <v>7</v>
      </c>
      <c r="L7" s="1"/>
      <c r="M7" s="1" t="b">
        <v>0</v>
      </c>
      <c r="N7" s="1"/>
      <c r="O7">
        <v>0</v>
      </c>
      <c r="P7">
        <v>0</v>
      </c>
      <c r="Q7">
        <v>7</v>
      </c>
      <c r="R7" s="1">
        <f t="shared" si="2"/>
        <v>0</v>
      </c>
      <c r="S7" s="1">
        <f t="shared" si="3"/>
        <v>0</v>
      </c>
      <c r="T7" s="1">
        <f t="shared" si="4"/>
        <v>0</v>
      </c>
      <c r="U7" s="1">
        <f t="shared" si="5"/>
        <v>0</v>
      </c>
      <c r="V7" s="1">
        <f t="shared" si="6"/>
        <v>4</v>
      </c>
      <c r="W7" s="1" t="str">
        <f t="shared" si="7"/>
        <v>1B</v>
      </c>
      <c r="X7" t="s">
        <v>39</v>
      </c>
      <c r="Y7" t="s">
        <v>39</v>
      </c>
      <c r="AJ7">
        <f t="shared" si="8"/>
        <v>11</v>
      </c>
      <c r="AK7">
        <f t="shared" si="9"/>
        <v>111</v>
      </c>
      <c r="AL7">
        <f t="shared" si="10"/>
        <v>4</v>
      </c>
      <c r="AM7">
        <f t="shared" si="0"/>
        <v>7</v>
      </c>
      <c r="AN7">
        <f t="shared" si="11"/>
        <v>4</v>
      </c>
      <c r="AO7">
        <f t="shared" si="12"/>
        <v>7</v>
      </c>
      <c r="AP7">
        <f t="shared" si="13"/>
        <v>0</v>
      </c>
      <c r="AQ7">
        <f t="shared" si="1"/>
        <v>0</v>
      </c>
      <c r="AR7">
        <f t="shared" si="14"/>
        <v>0</v>
      </c>
      <c r="AT7">
        <v>11</v>
      </c>
      <c r="AU7">
        <v>4</v>
      </c>
    </row>
    <row r="8" spans="1:47" x14ac:dyDescent="0.25">
      <c r="A8" t="s">
        <v>45</v>
      </c>
      <c r="B8" t="s">
        <v>5</v>
      </c>
      <c r="C8" t="s">
        <v>6</v>
      </c>
      <c r="E8" t="s">
        <v>43</v>
      </c>
      <c r="F8" t="s">
        <v>1</v>
      </c>
      <c r="G8" t="s">
        <v>2</v>
      </c>
      <c r="I8" s="1" t="s">
        <v>5</v>
      </c>
      <c r="J8" s="1" t="s">
        <v>6</v>
      </c>
      <c r="K8" s="1"/>
      <c r="L8" s="1" t="s">
        <v>43</v>
      </c>
      <c r="M8" s="1" t="b">
        <v>0</v>
      </c>
      <c r="N8" s="1"/>
      <c r="O8">
        <v>1</v>
      </c>
      <c r="P8">
        <v>0</v>
      </c>
      <c r="Q8">
        <v>4</v>
      </c>
      <c r="R8" s="1">
        <f t="shared" si="2"/>
        <v>1</v>
      </c>
      <c r="S8" s="1">
        <f t="shared" si="3"/>
        <v>0</v>
      </c>
      <c r="T8" s="1">
        <f t="shared" si="4"/>
        <v>0</v>
      </c>
      <c r="U8" s="1">
        <f t="shared" si="5"/>
        <v>0</v>
      </c>
      <c r="V8" s="1">
        <f t="shared" si="6"/>
        <v>5</v>
      </c>
      <c r="W8" s="1" t="str">
        <f t="shared" si="7"/>
        <v>1B</v>
      </c>
      <c r="X8" t="s">
        <v>39</v>
      </c>
      <c r="Y8" t="s">
        <v>39</v>
      </c>
      <c r="AJ8">
        <f t="shared" si="8"/>
        <v>101</v>
      </c>
      <c r="AK8">
        <f t="shared" si="9"/>
        <v>11</v>
      </c>
      <c r="AL8">
        <f t="shared" si="10"/>
        <v>5</v>
      </c>
      <c r="AM8">
        <f t="shared" si="0"/>
        <v>4</v>
      </c>
      <c r="AN8">
        <f t="shared" si="11"/>
        <v>5</v>
      </c>
      <c r="AO8">
        <f t="shared" si="12"/>
        <v>4</v>
      </c>
      <c r="AP8">
        <f t="shared" si="13"/>
        <v>0</v>
      </c>
      <c r="AQ8">
        <f t="shared" si="1"/>
        <v>0</v>
      </c>
      <c r="AR8">
        <f t="shared" si="14"/>
        <v>0</v>
      </c>
      <c r="AT8">
        <v>101</v>
      </c>
      <c r="AU8">
        <v>5</v>
      </c>
    </row>
    <row r="9" spans="1:47" x14ac:dyDescent="0.25">
      <c r="A9" t="s">
        <v>46</v>
      </c>
      <c r="B9" t="s">
        <v>5</v>
      </c>
      <c r="D9" t="s">
        <v>7</v>
      </c>
      <c r="E9" t="s">
        <v>43</v>
      </c>
      <c r="F9" t="s">
        <v>1</v>
      </c>
      <c r="H9" t="s">
        <v>3</v>
      </c>
      <c r="I9" s="1" t="s">
        <v>5</v>
      </c>
      <c r="J9" s="1"/>
      <c r="K9" s="1" t="s">
        <v>7</v>
      </c>
      <c r="L9" s="1" t="s">
        <v>43</v>
      </c>
      <c r="M9" s="1" t="b">
        <v>0</v>
      </c>
      <c r="N9" s="1"/>
      <c r="O9">
        <v>1</v>
      </c>
      <c r="P9">
        <v>0</v>
      </c>
      <c r="Q9">
        <v>5</v>
      </c>
      <c r="R9" s="1">
        <f t="shared" si="2"/>
        <v>1</v>
      </c>
      <c r="S9" s="1">
        <f t="shared" si="3"/>
        <v>0</v>
      </c>
      <c r="T9" s="1">
        <f t="shared" si="4"/>
        <v>0</v>
      </c>
      <c r="U9" s="1">
        <f t="shared" si="5"/>
        <v>0</v>
      </c>
      <c r="V9" s="1">
        <f t="shared" si="6"/>
        <v>6</v>
      </c>
      <c r="W9" s="1" t="str">
        <f t="shared" si="7"/>
        <v>1B</v>
      </c>
      <c r="X9" t="s">
        <v>39</v>
      </c>
      <c r="Y9" t="s">
        <v>39</v>
      </c>
      <c r="AJ9">
        <f t="shared" si="8"/>
        <v>110</v>
      </c>
      <c r="AK9">
        <f t="shared" si="9"/>
        <v>101</v>
      </c>
      <c r="AL9">
        <f t="shared" si="10"/>
        <v>6</v>
      </c>
      <c r="AM9">
        <f t="shared" si="0"/>
        <v>5</v>
      </c>
      <c r="AN9">
        <f t="shared" si="11"/>
        <v>6</v>
      </c>
      <c r="AO9">
        <f t="shared" si="12"/>
        <v>5</v>
      </c>
      <c r="AP9">
        <f t="shared" si="13"/>
        <v>0</v>
      </c>
      <c r="AQ9">
        <f t="shared" si="1"/>
        <v>0</v>
      </c>
      <c r="AR9">
        <f t="shared" si="14"/>
        <v>0</v>
      </c>
      <c r="AT9">
        <v>110</v>
      </c>
      <c r="AU9">
        <v>6</v>
      </c>
    </row>
    <row r="10" spans="1:47" x14ac:dyDescent="0.25">
      <c r="A10" t="s">
        <v>47</v>
      </c>
      <c r="B10" t="s">
        <v>5</v>
      </c>
      <c r="C10" t="s">
        <v>6</v>
      </c>
      <c r="D10" t="s">
        <v>7</v>
      </c>
      <c r="E10" t="s">
        <v>43</v>
      </c>
      <c r="F10" t="s">
        <v>1</v>
      </c>
      <c r="G10" t="s">
        <v>2</v>
      </c>
      <c r="H10" t="s">
        <v>3</v>
      </c>
      <c r="I10" s="1" t="s">
        <v>5</v>
      </c>
      <c r="J10" s="1" t="s">
        <v>6</v>
      </c>
      <c r="K10" s="1" t="s">
        <v>7</v>
      </c>
      <c r="L10" s="1" t="s">
        <v>43</v>
      </c>
      <c r="M10" s="1" t="b">
        <v>0</v>
      </c>
      <c r="N10" s="1"/>
      <c r="O10">
        <v>1</v>
      </c>
      <c r="P10">
        <v>0</v>
      </c>
      <c r="Q10">
        <v>7</v>
      </c>
      <c r="R10" s="1">
        <f t="shared" si="2"/>
        <v>1</v>
      </c>
      <c r="S10" s="1">
        <f t="shared" si="3"/>
        <v>0</v>
      </c>
      <c r="T10" s="1">
        <f t="shared" si="4"/>
        <v>0</v>
      </c>
      <c r="U10" s="1">
        <f t="shared" si="5"/>
        <v>0</v>
      </c>
      <c r="V10" s="1">
        <f t="shared" si="6"/>
        <v>7</v>
      </c>
      <c r="W10" s="1" t="str">
        <f t="shared" si="7"/>
        <v>1B</v>
      </c>
      <c r="X10" t="s">
        <v>39</v>
      </c>
      <c r="Y10" t="s">
        <v>39</v>
      </c>
      <c r="AJ10">
        <f t="shared" si="8"/>
        <v>111</v>
      </c>
      <c r="AK10">
        <f t="shared" si="9"/>
        <v>111</v>
      </c>
      <c r="AL10">
        <f t="shared" si="10"/>
        <v>7</v>
      </c>
      <c r="AM10">
        <f t="shared" si="0"/>
        <v>7</v>
      </c>
      <c r="AN10">
        <f t="shared" si="11"/>
        <v>7</v>
      </c>
      <c r="AO10">
        <f t="shared" si="12"/>
        <v>7</v>
      </c>
      <c r="AP10">
        <f t="shared" si="13"/>
        <v>0</v>
      </c>
      <c r="AQ10">
        <f t="shared" si="1"/>
        <v>0</v>
      </c>
      <c r="AR10">
        <f t="shared" si="14"/>
        <v>0</v>
      </c>
      <c r="AT10">
        <v>111</v>
      </c>
      <c r="AU10">
        <v>7</v>
      </c>
    </row>
    <row r="11" spans="1:47" x14ac:dyDescent="0.25">
      <c r="A11" t="s">
        <v>48</v>
      </c>
      <c r="B11" t="s">
        <v>5</v>
      </c>
      <c r="F11" t="s">
        <v>1</v>
      </c>
      <c r="I11" s="1" t="s">
        <v>5</v>
      </c>
      <c r="J11" s="1"/>
      <c r="K11" s="1"/>
      <c r="L11" s="1"/>
      <c r="M11" s="1" t="b">
        <v>0</v>
      </c>
      <c r="N11" s="1"/>
      <c r="O11">
        <v>0</v>
      </c>
      <c r="P11">
        <v>1</v>
      </c>
      <c r="Q11">
        <v>1</v>
      </c>
      <c r="R11" s="1">
        <f t="shared" si="2"/>
        <v>0</v>
      </c>
      <c r="S11" s="1">
        <f t="shared" si="3"/>
        <v>1</v>
      </c>
      <c r="T11" s="1">
        <f t="shared" si="4"/>
        <v>0</v>
      </c>
      <c r="U11" s="1">
        <f t="shared" si="5"/>
        <v>1</v>
      </c>
      <c r="V11" s="1">
        <f t="shared" si="6"/>
        <v>0</v>
      </c>
      <c r="W11" s="1" t="str">
        <f t="shared" si="7"/>
        <v>1B</v>
      </c>
      <c r="X11" t="s">
        <v>39</v>
      </c>
      <c r="Y11" t="s">
        <v>39</v>
      </c>
      <c r="AJ11">
        <f t="shared" si="8"/>
        <v>0</v>
      </c>
      <c r="AK11">
        <f t="shared" si="9"/>
        <v>1</v>
      </c>
      <c r="AL11">
        <f t="shared" si="10"/>
        <v>0</v>
      </c>
      <c r="AM11">
        <f t="shared" si="0"/>
        <v>1</v>
      </c>
      <c r="AN11">
        <f t="shared" si="11"/>
        <v>0</v>
      </c>
      <c r="AO11">
        <f t="shared" si="12"/>
        <v>1</v>
      </c>
      <c r="AP11">
        <f t="shared" si="13"/>
        <v>0</v>
      </c>
      <c r="AQ11">
        <f t="shared" si="1"/>
        <v>0</v>
      </c>
      <c r="AR11">
        <f t="shared" si="14"/>
        <v>0</v>
      </c>
    </row>
    <row r="12" spans="1:47" x14ac:dyDescent="0.25">
      <c r="A12" t="s">
        <v>49</v>
      </c>
      <c r="B12" t="s">
        <v>5</v>
      </c>
      <c r="C12" t="s">
        <v>6</v>
      </c>
      <c r="F12" t="s">
        <v>1</v>
      </c>
      <c r="G12" t="s">
        <v>2</v>
      </c>
      <c r="I12" s="1" t="s">
        <v>5</v>
      </c>
      <c r="J12" s="1" t="s">
        <v>6</v>
      </c>
      <c r="K12" s="1"/>
      <c r="L12" s="1"/>
      <c r="M12" s="1" t="b">
        <v>0</v>
      </c>
      <c r="N12" s="1"/>
      <c r="O12">
        <v>0</v>
      </c>
      <c r="P12">
        <v>1</v>
      </c>
      <c r="Q12">
        <v>4</v>
      </c>
      <c r="R12" s="1">
        <f t="shared" si="2"/>
        <v>0</v>
      </c>
      <c r="S12" s="1">
        <f t="shared" si="3"/>
        <v>1</v>
      </c>
      <c r="T12" s="1">
        <f t="shared" si="4"/>
        <v>0</v>
      </c>
      <c r="U12" s="1">
        <f t="shared" si="5"/>
        <v>1</v>
      </c>
      <c r="V12" s="1">
        <f t="shared" si="6"/>
        <v>1</v>
      </c>
      <c r="W12" s="1" t="str">
        <f t="shared" si="7"/>
        <v>1B</v>
      </c>
      <c r="X12" t="s">
        <v>39</v>
      </c>
      <c r="Y12" t="s">
        <v>39</v>
      </c>
      <c r="AJ12">
        <f t="shared" si="8"/>
        <v>1</v>
      </c>
      <c r="AK12">
        <f t="shared" si="9"/>
        <v>11</v>
      </c>
      <c r="AL12">
        <f t="shared" si="10"/>
        <v>1</v>
      </c>
      <c r="AM12">
        <f t="shared" si="0"/>
        <v>4</v>
      </c>
      <c r="AN12">
        <f t="shared" si="11"/>
        <v>1</v>
      </c>
      <c r="AO12">
        <f t="shared" si="12"/>
        <v>4</v>
      </c>
      <c r="AP12">
        <f t="shared" si="13"/>
        <v>0</v>
      </c>
      <c r="AQ12">
        <f t="shared" si="1"/>
        <v>0</v>
      </c>
      <c r="AR12">
        <f t="shared" si="14"/>
        <v>0</v>
      </c>
    </row>
    <row r="13" spans="1:47" x14ac:dyDescent="0.25">
      <c r="A13" t="s">
        <v>50</v>
      </c>
      <c r="B13" t="s">
        <v>5</v>
      </c>
      <c r="D13" t="s">
        <v>7</v>
      </c>
      <c r="F13" t="s">
        <v>1</v>
      </c>
      <c r="H13" t="s">
        <v>3</v>
      </c>
      <c r="I13" s="1" t="s">
        <v>5</v>
      </c>
      <c r="J13" s="1"/>
      <c r="K13" s="1" t="s">
        <v>7</v>
      </c>
      <c r="L13" s="1"/>
      <c r="M13" s="1" t="b">
        <v>0</v>
      </c>
      <c r="N13" s="1"/>
      <c r="O13">
        <v>0</v>
      </c>
      <c r="P13">
        <v>1</v>
      </c>
      <c r="Q13">
        <v>5</v>
      </c>
      <c r="R13" s="1">
        <f t="shared" si="2"/>
        <v>0</v>
      </c>
      <c r="S13" s="1">
        <f t="shared" si="3"/>
        <v>1</v>
      </c>
      <c r="T13" s="1">
        <f t="shared" si="4"/>
        <v>0</v>
      </c>
      <c r="U13" s="1">
        <f t="shared" si="5"/>
        <v>1</v>
      </c>
      <c r="V13" s="1">
        <f t="shared" si="6"/>
        <v>2</v>
      </c>
      <c r="W13" s="1" t="str">
        <f t="shared" si="7"/>
        <v>1B</v>
      </c>
      <c r="X13" t="s">
        <v>39</v>
      </c>
      <c r="Y13" t="s">
        <v>39</v>
      </c>
      <c r="AJ13">
        <f t="shared" si="8"/>
        <v>10</v>
      </c>
      <c r="AK13">
        <f t="shared" si="9"/>
        <v>101</v>
      </c>
      <c r="AL13">
        <f t="shared" si="10"/>
        <v>2</v>
      </c>
      <c r="AM13">
        <f t="shared" si="0"/>
        <v>5</v>
      </c>
      <c r="AN13">
        <f t="shared" si="11"/>
        <v>2</v>
      </c>
      <c r="AO13">
        <f t="shared" si="12"/>
        <v>5</v>
      </c>
      <c r="AP13">
        <f t="shared" si="13"/>
        <v>0</v>
      </c>
      <c r="AQ13">
        <f t="shared" si="1"/>
        <v>0</v>
      </c>
      <c r="AR13">
        <f t="shared" si="14"/>
        <v>0</v>
      </c>
    </row>
    <row r="14" spans="1:47" x14ac:dyDescent="0.25">
      <c r="A14" t="s">
        <v>51</v>
      </c>
      <c r="B14" t="s">
        <v>5</v>
      </c>
      <c r="E14" t="s">
        <v>43</v>
      </c>
      <c r="F14" t="s">
        <v>1</v>
      </c>
      <c r="I14" s="1" t="s">
        <v>5</v>
      </c>
      <c r="J14" s="1"/>
      <c r="K14" s="1"/>
      <c r="L14" s="1" t="s">
        <v>43</v>
      </c>
      <c r="M14" s="1" t="b">
        <v>0</v>
      </c>
      <c r="N14" s="1"/>
      <c r="O14">
        <v>1</v>
      </c>
      <c r="P14">
        <v>1</v>
      </c>
      <c r="Q14">
        <v>1</v>
      </c>
      <c r="R14" s="1">
        <f t="shared" si="2"/>
        <v>1</v>
      </c>
      <c r="S14" s="1">
        <f t="shared" si="3"/>
        <v>1</v>
      </c>
      <c r="T14" s="1">
        <f t="shared" si="4"/>
        <v>0</v>
      </c>
      <c r="U14" s="1">
        <f t="shared" si="5"/>
        <v>1</v>
      </c>
      <c r="V14" s="1">
        <f t="shared" si="6"/>
        <v>3</v>
      </c>
      <c r="W14" s="1" t="str">
        <f t="shared" si="7"/>
        <v>1B</v>
      </c>
      <c r="X14" t="s">
        <v>39</v>
      </c>
      <c r="Y14" t="s">
        <v>39</v>
      </c>
      <c r="AJ14">
        <f t="shared" si="8"/>
        <v>100</v>
      </c>
      <c r="AK14">
        <f t="shared" si="9"/>
        <v>1</v>
      </c>
      <c r="AL14">
        <f t="shared" si="10"/>
        <v>3</v>
      </c>
      <c r="AM14">
        <f t="shared" si="0"/>
        <v>1</v>
      </c>
      <c r="AN14">
        <f t="shared" si="11"/>
        <v>3</v>
      </c>
      <c r="AO14">
        <f t="shared" si="12"/>
        <v>1</v>
      </c>
      <c r="AP14">
        <f t="shared" si="13"/>
        <v>0</v>
      </c>
      <c r="AQ14">
        <f t="shared" si="1"/>
        <v>0</v>
      </c>
      <c r="AR14">
        <f t="shared" si="14"/>
        <v>0</v>
      </c>
    </row>
    <row r="15" spans="1:47" x14ac:dyDescent="0.25">
      <c r="A15" t="s">
        <v>52</v>
      </c>
      <c r="B15" t="s">
        <v>5</v>
      </c>
      <c r="C15" t="s">
        <v>6</v>
      </c>
      <c r="D15" t="s">
        <v>7</v>
      </c>
      <c r="F15" t="s">
        <v>1</v>
      </c>
      <c r="G15" t="s">
        <v>2</v>
      </c>
      <c r="H15" t="s">
        <v>3</v>
      </c>
      <c r="I15" s="1" t="s">
        <v>5</v>
      </c>
      <c r="J15" s="1" t="s">
        <v>6</v>
      </c>
      <c r="K15" s="1" t="s">
        <v>7</v>
      </c>
      <c r="L15" s="1"/>
      <c r="M15" s="1" t="b">
        <v>0</v>
      </c>
      <c r="N15" s="1"/>
      <c r="O15">
        <v>0</v>
      </c>
      <c r="P15">
        <v>1</v>
      </c>
      <c r="Q15">
        <v>7</v>
      </c>
      <c r="R15" s="1">
        <f t="shared" si="2"/>
        <v>0</v>
      </c>
      <c r="S15" s="1">
        <f t="shared" si="3"/>
        <v>1</v>
      </c>
      <c r="T15" s="1">
        <f t="shared" si="4"/>
        <v>0</v>
      </c>
      <c r="U15" s="1">
        <f t="shared" si="5"/>
        <v>1</v>
      </c>
      <c r="V15" s="1">
        <f t="shared" si="6"/>
        <v>4</v>
      </c>
      <c r="W15" s="1" t="str">
        <f t="shared" si="7"/>
        <v>1B</v>
      </c>
      <c r="X15" t="s">
        <v>39</v>
      </c>
      <c r="Y15" t="s">
        <v>39</v>
      </c>
      <c r="AJ15">
        <f t="shared" si="8"/>
        <v>11</v>
      </c>
      <c r="AK15">
        <f t="shared" si="9"/>
        <v>111</v>
      </c>
      <c r="AL15">
        <f t="shared" si="10"/>
        <v>4</v>
      </c>
      <c r="AM15">
        <f t="shared" si="0"/>
        <v>7</v>
      </c>
      <c r="AN15">
        <f t="shared" si="11"/>
        <v>4</v>
      </c>
      <c r="AO15">
        <f t="shared" si="12"/>
        <v>7</v>
      </c>
      <c r="AP15">
        <f t="shared" si="13"/>
        <v>0</v>
      </c>
      <c r="AQ15">
        <f t="shared" si="1"/>
        <v>0</v>
      </c>
      <c r="AR15">
        <f t="shared" si="14"/>
        <v>0</v>
      </c>
    </row>
    <row r="16" spans="1:47" x14ac:dyDescent="0.25">
      <c r="A16" t="s">
        <v>53</v>
      </c>
      <c r="B16" t="s">
        <v>5</v>
      </c>
      <c r="C16" t="s">
        <v>6</v>
      </c>
      <c r="E16" t="s">
        <v>43</v>
      </c>
      <c r="F16" t="s">
        <v>1</v>
      </c>
      <c r="G16" t="s">
        <v>2</v>
      </c>
      <c r="I16" s="1" t="s">
        <v>5</v>
      </c>
      <c r="J16" s="1" t="s">
        <v>6</v>
      </c>
      <c r="K16" s="1"/>
      <c r="L16" s="1" t="s">
        <v>43</v>
      </c>
      <c r="M16" s="1" t="b">
        <v>0</v>
      </c>
      <c r="N16" s="1"/>
      <c r="O16">
        <v>1</v>
      </c>
      <c r="P16">
        <v>1</v>
      </c>
      <c r="Q16">
        <v>4</v>
      </c>
      <c r="R16" s="1">
        <f t="shared" si="2"/>
        <v>1</v>
      </c>
      <c r="S16" s="1">
        <f t="shared" si="3"/>
        <v>1</v>
      </c>
      <c r="T16" s="1">
        <f t="shared" si="4"/>
        <v>0</v>
      </c>
      <c r="U16" s="1">
        <f t="shared" si="5"/>
        <v>1</v>
      </c>
      <c r="V16" s="1">
        <f t="shared" si="6"/>
        <v>5</v>
      </c>
      <c r="W16" s="1" t="str">
        <f t="shared" si="7"/>
        <v>1B</v>
      </c>
      <c r="X16" t="s">
        <v>39</v>
      </c>
      <c r="Y16" t="s">
        <v>39</v>
      </c>
      <c r="AJ16">
        <f t="shared" si="8"/>
        <v>101</v>
      </c>
      <c r="AK16">
        <f t="shared" si="9"/>
        <v>11</v>
      </c>
      <c r="AL16">
        <f t="shared" si="10"/>
        <v>5</v>
      </c>
      <c r="AM16">
        <f t="shared" si="0"/>
        <v>4</v>
      </c>
      <c r="AN16">
        <f t="shared" si="11"/>
        <v>5</v>
      </c>
      <c r="AO16">
        <f t="shared" si="12"/>
        <v>4</v>
      </c>
      <c r="AP16">
        <f t="shared" si="13"/>
        <v>0</v>
      </c>
      <c r="AQ16">
        <f t="shared" si="1"/>
        <v>0</v>
      </c>
      <c r="AR16">
        <f t="shared" si="14"/>
        <v>0</v>
      </c>
    </row>
    <row r="17" spans="1:44" x14ac:dyDescent="0.25">
      <c r="A17" t="s">
        <v>54</v>
      </c>
      <c r="B17" t="s">
        <v>5</v>
      </c>
      <c r="D17" t="s">
        <v>7</v>
      </c>
      <c r="E17" t="s">
        <v>43</v>
      </c>
      <c r="F17" t="s">
        <v>1</v>
      </c>
      <c r="H17" t="s">
        <v>3</v>
      </c>
      <c r="I17" s="1" t="s">
        <v>5</v>
      </c>
      <c r="J17" s="1"/>
      <c r="K17" s="1" t="s">
        <v>7</v>
      </c>
      <c r="L17" s="1" t="s">
        <v>43</v>
      </c>
      <c r="M17" s="1" t="b">
        <v>0</v>
      </c>
      <c r="N17" s="1"/>
      <c r="O17">
        <v>1</v>
      </c>
      <c r="P17">
        <v>1</v>
      </c>
      <c r="Q17">
        <v>5</v>
      </c>
      <c r="R17" s="1">
        <f t="shared" si="2"/>
        <v>1</v>
      </c>
      <c r="S17" s="1">
        <f t="shared" si="3"/>
        <v>1</v>
      </c>
      <c r="T17" s="1">
        <f t="shared" si="4"/>
        <v>0</v>
      </c>
      <c r="U17" s="1">
        <f t="shared" si="5"/>
        <v>1</v>
      </c>
      <c r="V17" s="1">
        <f t="shared" si="6"/>
        <v>6</v>
      </c>
      <c r="W17" s="1" t="str">
        <f t="shared" si="7"/>
        <v>1B</v>
      </c>
      <c r="X17" t="s">
        <v>39</v>
      </c>
      <c r="Y17" t="s">
        <v>39</v>
      </c>
      <c r="AJ17">
        <f t="shared" si="8"/>
        <v>110</v>
      </c>
      <c r="AK17">
        <f t="shared" si="9"/>
        <v>101</v>
      </c>
      <c r="AL17">
        <f t="shared" si="10"/>
        <v>6</v>
      </c>
      <c r="AM17">
        <f t="shared" si="0"/>
        <v>5</v>
      </c>
      <c r="AN17">
        <f t="shared" si="11"/>
        <v>6</v>
      </c>
      <c r="AO17">
        <f t="shared" si="12"/>
        <v>5</v>
      </c>
      <c r="AP17">
        <f t="shared" si="13"/>
        <v>0</v>
      </c>
      <c r="AQ17">
        <f t="shared" si="1"/>
        <v>0</v>
      </c>
      <c r="AR17">
        <f t="shared" si="14"/>
        <v>0</v>
      </c>
    </row>
    <row r="18" spans="1:44" x14ac:dyDescent="0.25">
      <c r="A18" t="s">
        <v>55</v>
      </c>
      <c r="B18" t="s">
        <v>5</v>
      </c>
      <c r="C18" t="s">
        <v>6</v>
      </c>
      <c r="D18" t="s">
        <v>7</v>
      </c>
      <c r="E18" t="s">
        <v>43</v>
      </c>
      <c r="F18" t="s">
        <v>1</v>
      </c>
      <c r="G18" t="s">
        <v>2</v>
      </c>
      <c r="H18" t="s">
        <v>3</v>
      </c>
      <c r="I18" s="1" t="s">
        <v>5</v>
      </c>
      <c r="J18" s="1" t="s">
        <v>6</v>
      </c>
      <c r="K18" s="1" t="s">
        <v>7</v>
      </c>
      <c r="L18" s="1" t="s">
        <v>43</v>
      </c>
      <c r="M18" s="1" t="b">
        <v>0</v>
      </c>
      <c r="N18" s="1"/>
      <c r="O18">
        <v>1</v>
      </c>
      <c r="P18">
        <v>1</v>
      </c>
      <c r="Q18">
        <v>7</v>
      </c>
      <c r="R18" s="1">
        <f t="shared" si="2"/>
        <v>1</v>
      </c>
      <c r="S18" s="1">
        <f t="shared" si="3"/>
        <v>1</v>
      </c>
      <c r="T18" s="1">
        <f t="shared" si="4"/>
        <v>0</v>
      </c>
      <c r="U18" s="1">
        <f t="shared" si="5"/>
        <v>1</v>
      </c>
      <c r="V18" s="1">
        <f t="shared" si="6"/>
        <v>7</v>
      </c>
      <c r="W18" s="1" t="str">
        <f t="shared" si="7"/>
        <v>1B</v>
      </c>
      <c r="X18" t="s">
        <v>39</v>
      </c>
      <c r="Y18" t="s">
        <v>39</v>
      </c>
      <c r="AJ18">
        <f t="shared" si="8"/>
        <v>111</v>
      </c>
      <c r="AK18">
        <f t="shared" si="9"/>
        <v>111</v>
      </c>
      <c r="AL18">
        <f t="shared" si="10"/>
        <v>7</v>
      </c>
      <c r="AM18">
        <f t="shared" si="0"/>
        <v>7</v>
      </c>
      <c r="AN18">
        <f t="shared" si="11"/>
        <v>7</v>
      </c>
      <c r="AO18">
        <f t="shared" si="12"/>
        <v>7</v>
      </c>
      <c r="AP18">
        <f t="shared" si="13"/>
        <v>0</v>
      </c>
      <c r="AQ18">
        <f t="shared" si="1"/>
        <v>0</v>
      </c>
      <c r="AR18">
        <f t="shared" si="14"/>
        <v>0</v>
      </c>
    </row>
    <row r="19" spans="1:44" x14ac:dyDescent="0.25">
      <c r="A19" t="s">
        <v>56</v>
      </c>
      <c r="B19" t="s">
        <v>5</v>
      </c>
      <c r="F19" t="s">
        <v>1</v>
      </c>
      <c r="I19" s="1" t="s">
        <v>5</v>
      </c>
      <c r="J19" s="1"/>
      <c r="K19" s="1"/>
      <c r="L19" s="1"/>
      <c r="M19" s="1" t="b">
        <v>0</v>
      </c>
      <c r="N19" s="1"/>
      <c r="O19">
        <v>0</v>
      </c>
      <c r="P19">
        <v>2</v>
      </c>
      <c r="Q19">
        <v>1</v>
      </c>
      <c r="R19" s="1">
        <f t="shared" si="2"/>
        <v>0</v>
      </c>
      <c r="S19" s="1">
        <f t="shared" si="3"/>
        <v>2</v>
      </c>
      <c r="T19" s="1">
        <f t="shared" si="4"/>
        <v>0</v>
      </c>
      <c r="U19" s="1">
        <f t="shared" si="5"/>
        <v>2</v>
      </c>
      <c r="V19" s="1">
        <f t="shared" si="6"/>
        <v>0</v>
      </c>
      <c r="W19" s="1" t="str">
        <f t="shared" si="7"/>
        <v>1B</v>
      </c>
      <c r="X19" t="s">
        <v>39</v>
      </c>
      <c r="Y19" t="s">
        <v>39</v>
      </c>
      <c r="AJ19">
        <f t="shared" si="8"/>
        <v>0</v>
      </c>
      <c r="AK19">
        <f t="shared" si="9"/>
        <v>1</v>
      </c>
      <c r="AL19">
        <f t="shared" si="10"/>
        <v>0</v>
      </c>
      <c r="AM19">
        <f t="shared" si="0"/>
        <v>1</v>
      </c>
      <c r="AN19">
        <f t="shared" si="11"/>
        <v>0</v>
      </c>
      <c r="AO19">
        <f t="shared" si="12"/>
        <v>1</v>
      </c>
      <c r="AP19">
        <f t="shared" si="13"/>
        <v>0</v>
      </c>
      <c r="AQ19">
        <f t="shared" si="1"/>
        <v>0</v>
      </c>
      <c r="AR19">
        <f t="shared" si="14"/>
        <v>0</v>
      </c>
    </row>
    <row r="20" spans="1:44" x14ac:dyDescent="0.25">
      <c r="A20" t="s">
        <v>57</v>
      </c>
      <c r="B20" t="s">
        <v>5</v>
      </c>
      <c r="C20" t="s">
        <v>6</v>
      </c>
      <c r="F20" t="s">
        <v>1</v>
      </c>
      <c r="G20" t="s">
        <v>2</v>
      </c>
      <c r="I20" s="1" t="s">
        <v>5</v>
      </c>
      <c r="J20" s="1" t="s">
        <v>6</v>
      </c>
      <c r="K20" s="1"/>
      <c r="L20" s="1"/>
      <c r="M20" s="1" t="b">
        <v>0</v>
      </c>
      <c r="N20" s="1"/>
      <c r="O20">
        <v>0</v>
      </c>
      <c r="P20">
        <v>2</v>
      </c>
      <c r="Q20">
        <v>4</v>
      </c>
      <c r="R20" s="1">
        <f t="shared" si="2"/>
        <v>0</v>
      </c>
      <c r="S20" s="1">
        <f t="shared" si="3"/>
        <v>2</v>
      </c>
      <c r="T20" s="1">
        <f t="shared" si="4"/>
        <v>0</v>
      </c>
      <c r="U20" s="1">
        <f t="shared" si="5"/>
        <v>2</v>
      </c>
      <c r="V20" s="1">
        <f t="shared" si="6"/>
        <v>1</v>
      </c>
      <c r="W20" s="1" t="str">
        <f t="shared" si="7"/>
        <v>1B</v>
      </c>
      <c r="X20" t="s">
        <v>39</v>
      </c>
      <c r="Y20" t="s">
        <v>39</v>
      </c>
      <c r="AJ20">
        <f t="shared" si="8"/>
        <v>1</v>
      </c>
      <c r="AK20">
        <f t="shared" si="9"/>
        <v>11</v>
      </c>
      <c r="AL20">
        <f t="shared" si="10"/>
        <v>1</v>
      </c>
      <c r="AM20">
        <f t="shared" si="0"/>
        <v>4</v>
      </c>
      <c r="AN20">
        <f t="shared" si="11"/>
        <v>1</v>
      </c>
      <c r="AO20">
        <f t="shared" si="12"/>
        <v>4</v>
      </c>
      <c r="AP20">
        <f t="shared" si="13"/>
        <v>0</v>
      </c>
      <c r="AQ20">
        <f t="shared" si="1"/>
        <v>0</v>
      </c>
      <c r="AR20">
        <f t="shared" si="14"/>
        <v>0</v>
      </c>
    </row>
    <row r="21" spans="1:44" x14ac:dyDescent="0.25">
      <c r="A21" t="s">
        <v>58</v>
      </c>
      <c r="B21" t="s">
        <v>5</v>
      </c>
      <c r="D21" t="s">
        <v>7</v>
      </c>
      <c r="F21" t="s">
        <v>1</v>
      </c>
      <c r="H21" t="s">
        <v>3</v>
      </c>
      <c r="I21" s="1" t="s">
        <v>5</v>
      </c>
      <c r="J21" s="1"/>
      <c r="K21" s="1" t="s">
        <v>7</v>
      </c>
      <c r="L21" s="1"/>
      <c r="M21" s="1" t="b">
        <v>0</v>
      </c>
      <c r="N21" s="1"/>
      <c r="O21">
        <v>0</v>
      </c>
      <c r="P21">
        <v>2</v>
      </c>
      <c r="Q21">
        <v>5</v>
      </c>
      <c r="R21" s="1">
        <f t="shared" si="2"/>
        <v>0</v>
      </c>
      <c r="S21" s="1">
        <f t="shared" si="3"/>
        <v>2</v>
      </c>
      <c r="T21" s="1">
        <f t="shared" si="4"/>
        <v>0</v>
      </c>
      <c r="U21" s="1">
        <f t="shared" si="5"/>
        <v>2</v>
      </c>
      <c r="V21" s="1">
        <f t="shared" si="6"/>
        <v>2</v>
      </c>
      <c r="W21" s="1" t="str">
        <f t="shared" si="7"/>
        <v>1B</v>
      </c>
      <c r="X21" t="s">
        <v>39</v>
      </c>
      <c r="Y21" t="s">
        <v>39</v>
      </c>
      <c r="AJ21">
        <f t="shared" si="8"/>
        <v>10</v>
      </c>
      <c r="AK21">
        <f t="shared" si="9"/>
        <v>101</v>
      </c>
      <c r="AL21">
        <f t="shared" si="10"/>
        <v>2</v>
      </c>
      <c r="AM21">
        <f t="shared" si="0"/>
        <v>5</v>
      </c>
      <c r="AN21">
        <f t="shared" si="11"/>
        <v>2</v>
      </c>
      <c r="AO21">
        <f t="shared" si="12"/>
        <v>5</v>
      </c>
      <c r="AP21">
        <f t="shared" si="13"/>
        <v>0</v>
      </c>
      <c r="AQ21">
        <f t="shared" si="1"/>
        <v>0</v>
      </c>
      <c r="AR21">
        <f t="shared" si="14"/>
        <v>0</v>
      </c>
    </row>
    <row r="22" spans="1:44" x14ac:dyDescent="0.25">
      <c r="A22" t="s">
        <v>59</v>
      </c>
      <c r="B22" t="s">
        <v>5</v>
      </c>
      <c r="E22" t="s">
        <v>43</v>
      </c>
      <c r="F22" t="s">
        <v>1</v>
      </c>
      <c r="I22" s="1" t="s">
        <v>5</v>
      </c>
      <c r="J22" s="1"/>
      <c r="K22" s="1"/>
      <c r="L22" s="1" t="s">
        <v>43</v>
      </c>
      <c r="M22" s="1" t="b">
        <v>0</v>
      </c>
      <c r="N22" s="1"/>
      <c r="O22">
        <v>1</v>
      </c>
      <c r="P22">
        <v>2</v>
      </c>
      <c r="Q22">
        <v>1</v>
      </c>
      <c r="R22" s="1">
        <f t="shared" si="2"/>
        <v>1</v>
      </c>
      <c r="S22" s="1">
        <f t="shared" si="3"/>
        <v>2</v>
      </c>
      <c r="T22" s="1">
        <f t="shared" si="4"/>
        <v>0</v>
      </c>
      <c r="U22" s="1">
        <f t="shared" si="5"/>
        <v>2</v>
      </c>
      <c r="V22" s="1">
        <f t="shared" si="6"/>
        <v>3</v>
      </c>
      <c r="W22" s="1" t="str">
        <f t="shared" si="7"/>
        <v>1B</v>
      </c>
      <c r="X22" t="s">
        <v>39</v>
      </c>
      <c r="Y22" t="s">
        <v>39</v>
      </c>
      <c r="AJ22">
        <f t="shared" si="8"/>
        <v>100</v>
      </c>
      <c r="AK22">
        <f t="shared" si="9"/>
        <v>1</v>
      </c>
      <c r="AL22">
        <f t="shared" si="10"/>
        <v>3</v>
      </c>
      <c r="AM22">
        <f t="shared" si="0"/>
        <v>1</v>
      </c>
      <c r="AN22">
        <f t="shared" si="11"/>
        <v>3</v>
      </c>
      <c r="AO22">
        <f t="shared" si="12"/>
        <v>1</v>
      </c>
      <c r="AP22">
        <f t="shared" si="13"/>
        <v>0</v>
      </c>
      <c r="AQ22">
        <f t="shared" si="1"/>
        <v>0</v>
      </c>
      <c r="AR22">
        <f t="shared" si="14"/>
        <v>0</v>
      </c>
    </row>
    <row r="23" spans="1:44" x14ac:dyDescent="0.25">
      <c r="A23" t="s">
        <v>60</v>
      </c>
      <c r="B23" t="s">
        <v>5</v>
      </c>
      <c r="C23" t="s">
        <v>6</v>
      </c>
      <c r="D23" t="s">
        <v>7</v>
      </c>
      <c r="F23" t="s">
        <v>1</v>
      </c>
      <c r="G23" t="s">
        <v>2</v>
      </c>
      <c r="H23" t="s">
        <v>3</v>
      </c>
      <c r="I23" s="1" t="s">
        <v>5</v>
      </c>
      <c r="J23" s="1" t="s">
        <v>6</v>
      </c>
      <c r="K23" s="1" t="s">
        <v>7</v>
      </c>
      <c r="L23" s="1"/>
      <c r="M23" s="1" t="b">
        <v>0</v>
      </c>
      <c r="N23" s="1"/>
      <c r="O23">
        <v>0</v>
      </c>
      <c r="P23">
        <v>2</v>
      </c>
      <c r="Q23">
        <v>7</v>
      </c>
      <c r="R23" s="1">
        <f t="shared" si="2"/>
        <v>0</v>
      </c>
      <c r="S23" s="1">
        <f t="shared" si="3"/>
        <v>2</v>
      </c>
      <c r="T23" s="1">
        <f t="shared" si="4"/>
        <v>0</v>
      </c>
      <c r="U23" s="1">
        <f t="shared" si="5"/>
        <v>2</v>
      </c>
      <c r="V23" s="1">
        <f t="shared" si="6"/>
        <v>4</v>
      </c>
      <c r="W23" s="1" t="str">
        <f t="shared" si="7"/>
        <v>1B</v>
      </c>
      <c r="X23" t="s">
        <v>39</v>
      </c>
      <c r="Y23" t="s">
        <v>39</v>
      </c>
      <c r="AJ23">
        <f t="shared" si="8"/>
        <v>11</v>
      </c>
      <c r="AK23">
        <f t="shared" si="9"/>
        <v>111</v>
      </c>
      <c r="AL23">
        <f t="shared" si="10"/>
        <v>4</v>
      </c>
      <c r="AM23">
        <f t="shared" si="0"/>
        <v>7</v>
      </c>
      <c r="AN23">
        <f t="shared" si="11"/>
        <v>4</v>
      </c>
      <c r="AO23">
        <f t="shared" si="12"/>
        <v>7</v>
      </c>
      <c r="AP23">
        <f t="shared" si="13"/>
        <v>0</v>
      </c>
      <c r="AQ23">
        <f t="shared" si="1"/>
        <v>0</v>
      </c>
      <c r="AR23">
        <f t="shared" si="14"/>
        <v>0</v>
      </c>
    </row>
    <row r="24" spans="1:44" x14ac:dyDescent="0.25">
      <c r="A24" t="s">
        <v>61</v>
      </c>
      <c r="B24" t="s">
        <v>5</v>
      </c>
      <c r="C24" t="s">
        <v>6</v>
      </c>
      <c r="E24" t="s">
        <v>43</v>
      </c>
      <c r="F24" t="s">
        <v>1</v>
      </c>
      <c r="G24" t="s">
        <v>2</v>
      </c>
      <c r="I24" s="1" t="s">
        <v>5</v>
      </c>
      <c r="J24" s="1" t="s">
        <v>6</v>
      </c>
      <c r="K24" s="1"/>
      <c r="L24" s="1" t="s">
        <v>43</v>
      </c>
      <c r="M24" s="1" t="b">
        <v>0</v>
      </c>
      <c r="N24" s="1"/>
      <c r="O24">
        <v>1</v>
      </c>
      <c r="P24">
        <v>2</v>
      </c>
      <c r="Q24">
        <v>4</v>
      </c>
      <c r="R24" s="1">
        <f t="shared" si="2"/>
        <v>1</v>
      </c>
      <c r="S24" s="1">
        <f t="shared" si="3"/>
        <v>2</v>
      </c>
      <c r="T24" s="1">
        <f t="shared" si="4"/>
        <v>0</v>
      </c>
      <c r="U24" s="1">
        <f t="shared" si="5"/>
        <v>2</v>
      </c>
      <c r="V24" s="1">
        <f t="shared" si="6"/>
        <v>5</v>
      </c>
      <c r="W24" s="1" t="str">
        <f t="shared" si="7"/>
        <v>1B</v>
      </c>
      <c r="X24" t="s">
        <v>39</v>
      </c>
      <c r="Y24" t="s">
        <v>39</v>
      </c>
      <c r="AJ24">
        <f t="shared" si="8"/>
        <v>101</v>
      </c>
      <c r="AK24">
        <f t="shared" si="9"/>
        <v>11</v>
      </c>
      <c r="AL24">
        <f t="shared" si="10"/>
        <v>5</v>
      </c>
      <c r="AM24">
        <f t="shared" si="0"/>
        <v>4</v>
      </c>
      <c r="AN24">
        <f t="shared" si="11"/>
        <v>5</v>
      </c>
      <c r="AO24">
        <f t="shared" si="12"/>
        <v>4</v>
      </c>
      <c r="AP24">
        <f t="shared" si="13"/>
        <v>0</v>
      </c>
      <c r="AQ24">
        <f t="shared" si="1"/>
        <v>0</v>
      </c>
      <c r="AR24">
        <f t="shared" si="14"/>
        <v>0</v>
      </c>
    </row>
    <row r="25" spans="1:44" x14ac:dyDescent="0.25">
      <c r="A25" t="s">
        <v>62</v>
      </c>
      <c r="B25" t="s">
        <v>5</v>
      </c>
      <c r="D25" t="s">
        <v>7</v>
      </c>
      <c r="E25" t="s">
        <v>43</v>
      </c>
      <c r="F25" t="s">
        <v>1</v>
      </c>
      <c r="H25" t="s">
        <v>3</v>
      </c>
      <c r="I25" s="1" t="s">
        <v>5</v>
      </c>
      <c r="J25" s="1"/>
      <c r="K25" s="1" t="s">
        <v>7</v>
      </c>
      <c r="L25" s="1" t="s">
        <v>43</v>
      </c>
      <c r="M25" s="1" t="b">
        <v>0</v>
      </c>
      <c r="N25" s="1"/>
      <c r="O25">
        <v>1</v>
      </c>
      <c r="P25">
        <v>2</v>
      </c>
      <c r="Q25">
        <v>5</v>
      </c>
      <c r="R25" s="1">
        <f t="shared" si="2"/>
        <v>1</v>
      </c>
      <c r="S25" s="1">
        <f t="shared" si="3"/>
        <v>2</v>
      </c>
      <c r="T25" s="1">
        <f t="shared" si="4"/>
        <v>0</v>
      </c>
      <c r="U25" s="1">
        <f t="shared" si="5"/>
        <v>2</v>
      </c>
      <c r="V25" s="1">
        <f t="shared" si="6"/>
        <v>6</v>
      </c>
      <c r="W25" s="1" t="str">
        <f t="shared" si="7"/>
        <v>1B</v>
      </c>
      <c r="X25" t="s">
        <v>39</v>
      </c>
      <c r="Y25" t="s">
        <v>39</v>
      </c>
      <c r="AJ25">
        <f t="shared" si="8"/>
        <v>110</v>
      </c>
      <c r="AK25">
        <f t="shared" si="9"/>
        <v>101</v>
      </c>
      <c r="AL25">
        <f t="shared" si="10"/>
        <v>6</v>
      </c>
      <c r="AM25">
        <f t="shared" si="0"/>
        <v>5</v>
      </c>
      <c r="AN25">
        <f t="shared" si="11"/>
        <v>6</v>
      </c>
      <c r="AO25">
        <f t="shared" si="12"/>
        <v>5</v>
      </c>
      <c r="AP25">
        <f t="shared" si="13"/>
        <v>0</v>
      </c>
      <c r="AQ25">
        <f t="shared" si="1"/>
        <v>0</v>
      </c>
      <c r="AR25">
        <f t="shared" si="14"/>
        <v>0</v>
      </c>
    </row>
    <row r="26" spans="1:44" x14ac:dyDescent="0.25">
      <c r="A26" t="s">
        <v>63</v>
      </c>
      <c r="B26" t="s">
        <v>5</v>
      </c>
      <c r="C26" t="s">
        <v>6</v>
      </c>
      <c r="D26" t="s">
        <v>7</v>
      </c>
      <c r="E26" t="s">
        <v>43</v>
      </c>
      <c r="F26" t="s">
        <v>1</v>
      </c>
      <c r="G26" t="s">
        <v>2</v>
      </c>
      <c r="H26" t="s">
        <v>3</v>
      </c>
      <c r="I26" s="1" t="s">
        <v>5</v>
      </c>
      <c r="J26" s="1" t="s">
        <v>6</v>
      </c>
      <c r="K26" s="1" t="s">
        <v>7</v>
      </c>
      <c r="L26" s="1" t="s">
        <v>43</v>
      </c>
      <c r="M26" s="1" t="b">
        <v>0</v>
      </c>
      <c r="N26" s="1"/>
      <c r="O26">
        <v>1</v>
      </c>
      <c r="P26">
        <v>2</v>
      </c>
      <c r="Q26">
        <v>7</v>
      </c>
      <c r="R26" s="1">
        <f t="shared" si="2"/>
        <v>1</v>
      </c>
      <c r="S26" s="1">
        <f t="shared" si="3"/>
        <v>2</v>
      </c>
      <c r="T26" s="1">
        <f t="shared" si="4"/>
        <v>0</v>
      </c>
      <c r="U26" s="1">
        <f t="shared" si="5"/>
        <v>2</v>
      </c>
      <c r="V26" s="1">
        <f t="shared" si="6"/>
        <v>7</v>
      </c>
      <c r="W26" s="1" t="str">
        <f t="shared" si="7"/>
        <v>1B</v>
      </c>
      <c r="X26" t="s">
        <v>39</v>
      </c>
      <c r="Y26" t="s">
        <v>39</v>
      </c>
      <c r="AJ26">
        <f t="shared" si="8"/>
        <v>111</v>
      </c>
      <c r="AK26">
        <f t="shared" si="9"/>
        <v>111</v>
      </c>
      <c r="AL26">
        <f t="shared" si="10"/>
        <v>7</v>
      </c>
      <c r="AM26">
        <f t="shared" si="0"/>
        <v>7</v>
      </c>
      <c r="AN26">
        <f t="shared" si="11"/>
        <v>7</v>
      </c>
      <c r="AO26">
        <f t="shared" si="12"/>
        <v>7</v>
      </c>
      <c r="AP26">
        <f t="shared" si="13"/>
        <v>0</v>
      </c>
      <c r="AQ26">
        <f t="shared" si="1"/>
        <v>0</v>
      </c>
      <c r="AR26">
        <f t="shared" si="14"/>
        <v>0</v>
      </c>
    </row>
    <row r="27" spans="1:44" x14ac:dyDescent="0.25">
      <c r="A27" t="s">
        <v>64</v>
      </c>
      <c r="B27" t="s">
        <v>5</v>
      </c>
      <c r="C27" t="s">
        <v>7</v>
      </c>
      <c r="F27" t="s">
        <v>1</v>
      </c>
      <c r="H27" t="s">
        <v>2</v>
      </c>
      <c r="I27" s="1" t="s">
        <v>5</v>
      </c>
      <c r="J27" s="1" t="s">
        <v>7</v>
      </c>
      <c r="K27" s="1"/>
      <c r="L27" s="1"/>
      <c r="M27" s="1" t="b">
        <v>0</v>
      </c>
      <c r="N27" s="1"/>
      <c r="O27">
        <v>0</v>
      </c>
      <c r="P27">
        <v>0</v>
      </c>
      <c r="Q27">
        <v>5</v>
      </c>
      <c r="R27" s="1">
        <f t="shared" si="2"/>
        <v>0</v>
      </c>
      <c r="S27" s="1">
        <f t="shared" si="3"/>
        <v>0</v>
      </c>
      <c r="T27" s="1">
        <f t="shared" si="4"/>
        <v>0</v>
      </c>
      <c r="U27" s="1">
        <f t="shared" si="5"/>
        <v>0</v>
      </c>
      <c r="V27" s="1">
        <f t="shared" si="6"/>
        <v>1</v>
      </c>
      <c r="W27" s="1" t="str">
        <f t="shared" si="7"/>
        <v>1BWH</v>
      </c>
      <c r="X27" t="s">
        <v>39</v>
      </c>
      <c r="Y27" t="s">
        <v>39</v>
      </c>
      <c r="AJ27">
        <f t="shared" si="8"/>
        <v>1</v>
      </c>
      <c r="AK27">
        <f t="shared" si="9"/>
        <v>101</v>
      </c>
      <c r="AL27">
        <f t="shared" si="10"/>
        <v>1</v>
      </c>
      <c r="AM27">
        <f t="shared" si="0"/>
        <v>5</v>
      </c>
      <c r="AN27">
        <f t="shared" si="11"/>
        <v>1</v>
      </c>
      <c r="AO27">
        <f t="shared" si="12"/>
        <v>5</v>
      </c>
      <c r="AP27">
        <f t="shared" si="13"/>
        <v>0</v>
      </c>
      <c r="AQ27">
        <f t="shared" si="1"/>
        <v>0</v>
      </c>
      <c r="AR27">
        <f t="shared" si="14"/>
        <v>0</v>
      </c>
    </row>
    <row r="28" spans="1:44" x14ac:dyDescent="0.25">
      <c r="A28" t="s">
        <v>65</v>
      </c>
      <c r="B28" t="s">
        <v>5</v>
      </c>
      <c r="D28" t="s">
        <v>43</v>
      </c>
      <c r="F28" t="s">
        <v>1</v>
      </c>
      <c r="I28" s="1" t="s">
        <v>5</v>
      </c>
      <c r="J28" s="1"/>
      <c r="K28" s="1" t="s">
        <v>43</v>
      </c>
      <c r="L28" s="1"/>
      <c r="M28" s="1" t="b">
        <v>0</v>
      </c>
      <c r="N28" s="1"/>
      <c r="O28">
        <v>1</v>
      </c>
      <c r="P28">
        <v>0</v>
      </c>
      <c r="Q28">
        <v>1</v>
      </c>
      <c r="R28" s="1">
        <f t="shared" si="2"/>
        <v>1</v>
      </c>
      <c r="S28" s="1">
        <f t="shared" si="3"/>
        <v>0</v>
      </c>
      <c r="T28" s="1">
        <f t="shared" si="4"/>
        <v>0</v>
      </c>
      <c r="U28" s="1">
        <f t="shared" si="5"/>
        <v>0</v>
      </c>
      <c r="V28" s="1">
        <f t="shared" si="6"/>
        <v>2</v>
      </c>
      <c r="W28" s="1" t="str">
        <f t="shared" si="7"/>
        <v>1BWH</v>
      </c>
      <c r="X28" t="s">
        <v>39</v>
      </c>
      <c r="Y28" t="s">
        <v>39</v>
      </c>
      <c r="AJ28">
        <f t="shared" si="8"/>
        <v>10</v>
      </c>
      <c r="AK28">
        <f t="shared" si="9"/>
        <v>1</v>
      </c>
      <c r="AL28">
        <f t="shared" si="10"/>
        <v>2</v>
      </c>
      <c r="AM28">
        <f t="shared" si="0"/>
        <v>1</v>
      </c>
      <c r="AN28">
        <f t="shared" si="11"/>
        <v>2</v>
      </c>
      <c r="AO28">
        <f t="shared" si="12"/>
        <v>1</v>
      </c>
      <c r="AP28">
        <f t="shared" si="13"/>
        <v>0</v>
      </c>
      <c r="AQ28">
        <f t="shared" si="1"/>
        <v>0</v>
      </c>
      <c r="AR28">
        <f t="shared" si="14"/>
        <v>0</v>
      </c>
    </row>
    <row r="29" spans="1:44" x14ac:dyDescent="0.25">
      <c r="A29" t="s">
        <v>66</v>
      </c>
      <c r="B29" t="s">
        <v>5</v>
      </c>
      <c r="C29" t="s">
        <v>7</v>
      </c>
      <c r="D29" t="s">
        <v>43</v>
      </c>
      <c r="F29" t="s">
        <v>1</v>
      </c>
      <c r="H29" t="s">
        <v>2</v>
      </c>
      <c r="I29" s="1" t="s">
        <v>5</v>
      </c>
      <c r="J29" s="1" t="s">
        <v>7</v>
      </c>
      <c r="K29" s="1" t="s">
        <v>43</v>
      </c>
      <c r="L29" s="1"/>
      <c r="M29" s="1" t="b">
        <v>0</v>
      </c>
      <c r="N29" s="1"/>
      <c r="O29">
        <v>1</v>
      </c>
      <c r="P29">
        <v>0</v>
      </c>
      <c r="Q29">
        <v>5</v>
      </c>
      <c r="R29" s="1">
        <f t="shared" si="2"/>
        <v>1</v>
      </c>
      <c r="S29" s="1">
        <f t="shared" si="3"/>
        <v>0</v>
      </c>
      <c r="T29" s="1">
        <f t="shared" si="4"/>
        <v>0</v>
      </c>
      <c r="U29" s="1">
        <f t="shared" si="5"/>
        <v>0</v>
      </c>
      <c r="V29" s="1">
        <f t="shared" si="6"/>
        <v>4</v>
      </c>
      <c r="W29" s="1" t="str">
        <f t="shared" si="7"/>
        <v>1BWH</v>
      </c>
      <c r="X29" t="s">
        <v>39</v>
      </c>
      <c r="Y29" t="s">
        <v>39</v>
      </c>
      <c r="AJ29">
        <f t="shared" si="8"/>
        <v>11</v>
      </c>
      <c r="AK29">
        <f t="shared" si="9"/>
        <v>101</v>
      </c>
      <c r="AL29">
        <f t="shared" si="10"/>
        <v>4</v>
      </c>
      <c r="AM29">
        <f t="shared" si="0"/>
        <v>5</v>
      </c>
      <c r="AN29">
        <f t="shared" si="11"/>
        <v>4</v>
      </c>
      <c r="AO29">
        <f t="shared" si="12"/>
        <v>5</v>
      </c>
      <c r="AP29">
        <f t="shared" si="13"/>
        <v>0</v>
      </c>
      <c r="AQ29">
        <f t="shared" si="1"/>
        <v>0</v>
      </c>
      <c r="AR29">
        <f t="shared" si="14"/>
        <v>0</v>
      </c>
    </row>
    <row r="30" spans="1:44" x14ac:dyDescent="0.25">
      <c r="A30" t="s">
        <v>67</v>
      </c>
      <c r="B30" t="s">
        <v>5</v>
      </c>
      <c r="C30" t="s">
        <v>7</v>
      </c>
      <c r="E30" t="s">
        <v>43</v>
      </c>
      <c r="F30" t="s">
        <v>1</v>
      </c>
      <c r="H30" t="s">
        <v>2</v>
      </c>
      <c r="I30" s="1" t="s">
        <v>5</v>
      </c>
      <c r="J30" s="1" t="s">
        <v>7</v>
      </c>
      <c r="K30" s="1"/>
      <c r="L30" s="1" t="s">
        <v>43</v>
      </c>
      <c r="M30" s="1" t="b">
        <v>0</v>
      </c>
      <c r="N30" s="1"/>
      <c r="O30">
        <v>1</v>
      </c>
      <c r="P30">
        <v>0</v>
      </c>
      <c r="Q30">
        <v>5</v>
      </c>
      <c r="R30" s="1">
        <f t="shared" si="2"/>
        <v>1</v>
      </c>
      <c r="S30" s="1">
        <f t="shared" si="3"/>
        <v>0</v>
      </c>
      <c r="T30" s="1">
        <f t="shared" si="4"/>
        <v>0</v>
      </c>
      <c r="U30" s="1">
        <f t="shared" si="5"/>
        <v>0</v>
      </c>
      <c r="V30" s="1">
        <f t="shared" si="6"/>
        <v>5</v>
      </c>
      <c r="W30" s="1" t="str">
        <f t="shared" si="7"/>
        <v>1BWH</v>
      </c>
      <c r="X30" t="s">
        <v>39</v>
      </c>
      <c r="Y30" t="s">
        <v>39</v>
      </c>
      <c r="AJ30">
        <f t="shared" si="8"/>
        <v>101</v>
      </c>
      <c r="AK30">
        <f t="shared" si="9"/>
        <v>101</v>
      </c>
      <c r="AL30">
        <f t="shared" si="10"/>
        <v>5</v>
      </c>
      <c r="AM30">
        <f t="shared" si="0"/>
        <v>5</v>
      </c>
      <c r="AN30">
        <f t="shared" si="11"/>
        <v>5</v>
      </c>
      <c r="AO30">
        <f t="shared" si="12"/>
        <v>5</v>
      </c>
      <c r="AP30">
        <f t="shared" si="13"/>
        <v>0</v>
      </c>
      <c r="AQ30">
        <f t="shared" si="1"/>
        <v>0</v>
      </c>
      <c r="AR30">
        <f t="shared" si="14"/>
        <v>0</v>
      </c>
    </row>
    <row r="31" spans="1:44" x14ac:dyDescent="0.25">
      <c r="A31" t="s">
        <v>68</v>
      </c>
      <c r="B31" t="s">
        <v>5</v>
      </c>
      <c r="D31" t="s">
        <v>43</v>
      </c>
      <c r="E31" t="s">
        <v>43</v>
      </c>
      <c r="F31" t="s">
        <v>1</v>
      </c>
      <c r="I31" s="1" t="s">
        <v>5</v>
      </c>
      <c r="J31" s="1"/>
      <c r="K31" s="1" t="s">
        <v>43</v>
      </c>
      <c r="L31" s="1" t="s">
        <v>43</v>
      </c>
      <c r="M31" s="1" t="b">
        <v>0</v>
      </c>
      <c r="N31" s="1"/>
      <c r="O31">
        <v>2</v>
      </c>
      <c r="P31">
        <v>0</v>
      </c>
      <c r="Q31">
        <v>1</v>
      </c>
      <c r="R31" s="1">
        <f t="shared" si="2"/>
        <v>2</v>
      </c>
      <c r="S31" s="1">
        <f t="shared" si="3"/>
        <v>0</v>
      </c>
      <c r="T31" s="1">
        <f t="shared" si="4"/>
        <v>0</v>
      </c>
      <c r="U31" s="1">
        <f t="shared" si="5"/>
        <v>0</v>
      </c>
      <c r="V31" s="1">
        <f t="shared" si="6"/>
        <v>6</v>
      </c>
      <c r="W31" s="1" t="str">
        <f t="shared" si="7"/>
        <v>1BWH</v>
      </c>
      <c r="X31" t="s">
        <v>39</v>
      </c>
      <c r="Y31" t="s">
        <v>39</v>
      </c>
      <c r="AJ31">
        <f t="shared" si="8"/>
        <v>110</v>
      </c>
      <c r="AK31">
        <f t="shared" si="9"/>
        <v>1</v>
      </c>
      <c r="AL31">
        <f t="shared" si="10"/>
        <v>6</v>
      </c>
      <c r="AM31">
        <f t="shared" si="0"/>
        <v>1</v>
      </c>
      <c r="AN31">
        <f t="shared" si="11"/>
        <v>6</v>
      </c>
      <c r="AO31">
        <f t="shared" si="12"/>
        <v>1</v>
      </c>
      <c r="AP31">
        <f t="shared" si="13"/>
        <v>0</v>
      </c>
      <c r="AQ31">
        <f t="shared" si="1"/>
        <v>0</v>
      </c>
      <c r="AR31">
        <f t="shared" si="14"/>
        <v>0</v>
      </c>
    </row>
    <row r="32" spans="1:44" x14ac:dyDescent="0.25">
      <c r="A32" t="s">
        <v>69</v>
      </c>
      <c r="B32" t="s">
        <v>5</v>
      </c>
      <c r="C32" t="s">
        <v>7</v>
      </c>
      <c r="D32" t="s">
        <v>43</v>
      </c>
      <c r="E32" t="s">
        <v>43</v>
      </c>
      <c r="F32" t="s">
        <v>1</v>
      </c>
      <c r="H32" t="s">
        <v>2</v>
      </c>
      <c r="I32" s="1" t="s">
        <v>5</v>
      </c>
      <c r="J32" s="1" t="s">
        <v>7</v>
      </c>
      <c r="K32" s="1" t="s">
        <v>43</v>
      </c>
      <c r="L32" s="1" t="s">
        <v>43</v>
      </c>
      <c r="M32" s="1" t="b">
        <v>0</v>
      </c>
      <c r="N32" s="1"/>
      <c r="O32">
        <v>2</v>
      </c>
      <c r="P32">
        <v>0</v>
      </c>
      <c r="Q32">
        <v>5</v>
      </c>
      <c r="R32" s="1">
        <f t="shared" si="2"/>
        <v>2</v>
      </c>
      <c r="S32" s="1">
        <f t="shared" si="3"/>
        <v>0</v>
      </c>
      <c r="T32" s="1">
        <f t="shared" si="4"/>
        <v>0</v>
      </c>
      <c r="U32" s="1">
        <f t="shared" si="5"/>
        <v>0</v>
      </c>
      <c r="V32" s="1">
        <f t="shared" si="6"/>
        <v>7</v>
      </c>
      <c r="W32" s="1" t="str">
        <f t="shared" si="7"/>
        <v>1BWH</v>
      </c>
      <c r="X32" t="s">
        <v>39</v>
      </c>
      <c r="Y32" t="s">
        <v>39</v>
      </c>
      <c r="AJ32">
        <f t="shared" si="8"/>
        <v>111</v>
      </c>
      <c r="AK32">
        <f t="shared" si="9"/>
        <v>101</v>
      </c>
      <c r="AL32">
        <f t="shared" si="10"/>
        <v>7</v>
      </c>
      <c r="AM32">
        <f t="shared" si="0"/>
        <v>5</v>
      </c>
      <c r="AN32">
        <f t="shared" si="11"/>
        <v>7</v>
      </c>
      <c r="AO32">
        <f t="shared" si="12"/>
        <v>5</v>
      </c>
      <c r="AP32">
        <f t="shared" si="13"/>
        <v>0</v>
      </c>
      <c r="AQ32">
        <f t="shared" si="1"/>
        <v>0</v>
      </c>
      <c r="AR32">
        <f t="shared" si="14"/>
        <v>0</v>
      </c>
    </row>
    <row r="33" spans="1:44" x14ac:dyDescent="0.25">
      <c r="A33" t="s">
        <v>70</v>
      </c>
      <c r="B33" t="s">
        <v>5</v>
      </c>
      <c r="C33" t="s">
        <v>7</v>
      </c>
      <c r="F33" t="s">
        <v>1</v>
      </c>
      <c r="H33" t="s">
        <v>2</v>
      </c>
      <c r="I33" s="1" t="s">
        <v>5</v>
      </c>
      <c r="J33" s="1" t="s">
        <v>7</v>
      </c>
      <c r="K33" s="1"/>
      <c r="L33" s="1"/>
      <c r="M33" s="1" t="b">
        <v>0</v>
      </c>
      <c r="N33" s="1"/>
      <c r="O33">
        <v>0</v>
      </c>
      <c r="P33">
        <v>1</v>
      </c>
      <c r="Q33">
        <v>5</v>
      </c>
      <c r="R33" s="1">
        <f t="shared" si="2"/>
        <v>0</v>
      </c>
      <c r="S33" s="1">
        <f t="shared" si="3"/>
        <v>1</v>
      </c>
      <c r="T33" s="1">
        <f t="shared" si="4"/>
        <v>0</v>
      </c>
      <c r="U33" s="1">
        <f t="shared" si="5"/>
        <v>1</v>
      </c>
      <c r="V33" s="1">
        <f t="shared" si="6"/>
        <v>1</v>
      </c>
      <c r="W33" s="1" t="str">
        <f t="shared" si="7"/>
        <v>1BWH</v>
      </c>
      <c r="X33" t="s">
        <v>39</v>
      </c>
      <c r="Y33" t="s">
        <v>39</v>
      </c>
      <c r="AJ33">
        <f t="shared" si="8"/>
        <v>1</v>
      </c>
      <c r="AK33">
        <f t="shared" si="9"/>
        <v>101</v>
      </c>
      <c r="AL33">
        <f t="shared" si="10"/>
        <v>1</v>
      </c>
      <c r="AM33">
        <f t="shared" si="0"/>
        <v>5</v>
      </c>
      <c r="AN33">
        <f t="shared" si="11"/>
        <v>1</v>
      </c>
      <c r="AO33">
        <f t="shared" si="12"/>
        <v>5</v>
      </c>
      <c r="AP33">
        <f t="shared" si="13"/>
        <v>0</v>
      </c>
      <c r="AQ33">
        <f t="shared" si="1"/>
        <v>0</v>
      </c>
      <c r="AR33">
        <f t="shared" si="14"/>
        <v>0</v>
      </c>
    </row>
    <row r="34" spans="1:44" x14ac:dyDescent="0.25">
      <c r="A34" t="s">
        <v>71</v>
      </c>
      <c r="B34" t="s">
        <v>5</v>
      </c>
      <c r="D34" t="s">
        <v>43</v>
      </c>
      <c r="F34" t="s">
        <v>1</v>
      </c>
      <c r="I34" s="1" t="s">
        <v>5</v>
      </c>
      <c r="J34" s="1"/>
      <c r="K34" s="1" t="s">
        <v>43</v>
      </c>
      <c r="L34" s="1"/>
      <c r="M34" s="1" t="b">
        <v>0</v>
      </c>
      <c r="N34" s="1"/>
      <c r="O34">
        <v>1</v>
      </c>
      <c r="P34">
        <v>1</v>
      </c>
      <c r="Q34">
        <v>1</v>
      </c>
      <c r="R34" s="1">
        <f t="shared" si="2"/>
        <v>1</v>
      </c>
      <c r="S34" s="1">
        <f t="shared" si="3"/>
        <v>1</v>
      </c>
      <c r="T34" s="1">
        <f t="shared" si="4"/>
        <v>0</v>
      </c>
      <c r="U34" s="1">
        <f t="shared" si="5"/>
        <v>1</v>
      </c>
      <c r="V34" s="1">
        <f t="shared" si="6"/>
        <v>2</v>
      </c>
      <c r="W34" s="1" t="str">
        <f t="shared" si="7"/>
        <v>1BWH</v>
      </c>
      <c r="X34" t="s">
        <v>39</v>
      </c>
      <c r="Y34" t="s">
        <v>39</v>
      </c>
      <c r="AJ34">
        <f t="shared" si="8"/>
        <v>10</v>
      </c>
      <c r="AK34">
        <f t="shared" si="9"/>
        <v>1</v>
      </c>
      <c r="AL34">
        <f t="shared" si="10"/>
        <v>2</v>
      </c>
      <c r="AM34">
        <f t="shared" si="0"/>
        <v>1</v>
      </c>
      <c r="AN34">
        <f t="shared" si="11"/>
        <v>2</v>
      </c>
      <c r="AO34">
        <f t="shared" si="12"/>
        <v>1</v>
      </c>
      <c r="AP34">
        <f t="shared" si="13"/>
        <v>0</v>
      </c>
      <c r="AQ34">
        <f t="shared" si="1"/>
        <v>0</v>
      </c>
      <c r="AR34">
        <f t="shared" si="14"/>
        <v>0</v>
      </c>
    </row>
    <row r="35" spans="1:44" x14ac:dyDescent="0.25">
      <c r="A35" t="s">
        <v>72</v>
      </c>
      <c r="B35" t="s">
        <v>5</v>
      </c>
      <c r="C35" t="s">
        <v>7</v>
      </c>
      <c r="D35" t="s">
        <v>43</v>
      </c>
      <c r="F35" t="s">
        <v>1</v>
      </c>
      <c r="H35" t="s">
        <v>2</v>
      </c>
      <c r="I35" s="1" t="s">
        <v>5</v>
      </c>
      <c r="J35" s="1" t="s">
        <v>7</v>
      </c>
      <c r="K35" s="1" t="s">
        <v>43</v>
      </c>
      <c r="L35" s="1"/>
      <c r="M35" s="1" t="b">
        <v>0</v>
      </c>
      <c r="N35" s="1"/>
      <c r="O35">
        <v>1</v>
      </c>
      <c r="P35">
        <v>1</v>
      </c>
      <c r="Q35">
        <v>5</v>
      </c>
      <c r="R35" s="1">
        <f t="shared" si="2"/>
        <v>1</v>
      </c>
      <c r="S35" s="1">
        <f t="shared" si="3"/>
        <v>1</v>
      </c>
      <c r="T35" s="1">
        <f t="shared" si="4"/>
        <v>0</v>
      </c>
      <c r="U35" s="1">
        <f t="shared" si="5"/>
        <v>1</v>
      </c>
      <c r="V35" s="1">
        <f t="shared" si="6"/>
        <v>4</v>
      </c>
      <c r="W35" s="1" t="str">
        <f t="shared" si="7"/>
        <v>1BWH</v>
      </c>
      <c r="X35" t="s">
        <v>39</v>
      </c>
      <c r="Y35" t="s">
        <v>39</v>
      </c>
      <c r="AJ35">
        <f t="shared" si="8"/>
        <v>11</v>
      </c>
      <c r="AK35">
        <f t="shared" si="9"/>
        <v>101</v>
      </c>
      <c r="AL35">
        <f t="shared" si="10"/>
        <v>4</v>
      </c>
      <c r="AM35">
        <f t="shared" si="0"/>
        <v>5</v>
      </c>
      <c r="AN35">
        <f t="shared" si="11"/>
        <v>4</v>
      </c>
      <c r="AO35">
        <f t="shared" si="12"/>
        <v>5</v>
      </c>
      <c r="AP35">
        <f t="shared" si="13"/>
        <v>0</v>
      </c>
      <c r="AQ35">
        <f t="shared" si="1"/>
        <v>0</v>
      </c>
      <c r="AR35">
        <f t="shared" si="14"/>
        <v>0</v>
      </c>
    </row>
    <row r="36" spans="1:44" x14ac:dyDescent="0.25">
      <c r="A36" t="s">
        <v>73</v>
      </c>
      <c r="B36" t="s">
        <v>5</v>
      </c>
      <c r="C36" t="s">
        <v>7</v>
      </c>
      <c r="E36" t="s">
        <v>43</v>
      </c>
      <c r="F36" t="s">
        <v>1</v>
      </c>
      <c r="H36" t="s">
        <v>2</v>
      </c>
      <c r="I36" s="1" t="s">
        <v>5</v>
      </c>
      <c r="J36" s="1" t="s">
        <v>7</v>
      </c>
      <c r="K36" s="1"/>
      <c r="L36" s="1" t="s">
        <v>43</v>
      </c>
      <c r="M36" s="1" t="b">
        <v>0</v>
      </c>
      <c r="N36" s="1"/>
      <c r="O36">
        <v>1</v>
      </c>
      <c r="P36">
        <v>1</v>
      </c>
      <c r="Q36">
        <v>5</v>
      </c>
      <c r="R36" s="1">
        <f t="shared" si="2"/>
        <v>1</v>
      </c>
      <c r="S36" s="1">
        <f t="shared" si="3"/>
        <v>1</v>
      </c>
      <c r="T36" s="1">
        <f t="shared" si="4"/>
        <v>0</v>
      </c>
      <c r="U36" s="1">
        <f t="shared" si="5"/>
        <v>1</v>
      </c>
      <c r="V36" s="1">
        <f t="shared" si="6"/>
        <v>5</v>
      </c>
      <c r="W36" s="1" t="str">
        <f t="shared" si="7"/>
        <v>1BWH</v>
      </c>
      <c r="X36" t="s">
        <v>39</v>
      </c>
      <c r="Y36" t="s">
        <v>39</v>
      </c>
      <c r="AJ36">
        <f t="shared" si="8"/>
        <v>101</v>
      </c>
      <c r="AK36">
        <f t="shared" si="9"/>
        <v>101</v>
      </c>
      <c r="AL36">
        <f t="shared" si="10"/>
        <v>5</v>
      </c>
      <c r="AM36">
        <f t="shared" si="0"/>
        <v>5</v>
      </c>
      <c r="AN36">
        <f t="shared" si="11"/>
        <v>5</v>
      </c>
      <c r="AO36">
        <f t="shared" si="12"/>
        <v>5</v>
      </c>
      <c r="AP36">
        <f t="shared" si="13"/>
        <v>0</v>
      </c>
      <c r="AQ36">
        <f t="shared" si="1"/>
        <v>0</v>
      </c>
      <c r="AR36">
        <f t="shared" si="14"/>
        <v>0</v>
      </c>
    </row>
    <row r="37" spans="1:44" x14ac:dyDescent="0.25">
      <c r="A37" t="s">
        <v>74</v>
      </c>
      <c r="B37" t="s">
        <v>5</v>
      </c>
      <c r="D37" t="s">
        <v>43</v>
      </c>
      <c r="E37" t="s">
        <v>43</v>
      </c>
      <c r="F37" t="s">
        <v>1</v>
      </c>
      <c r="I37" s="1" t="s">
        <v>5</v>
      </c>
      <c r="J37" s="1"/>
      <c r="K37" s="1" t="s">
        <v>43</v>
      </c>
      <c r="L37" s="1" t="s">
        <v>43</v>
      </c>
      <c r="M37" s="1" t="b">
        <v>0</v>
      </c>
      <c r="N37" s="1"/>
      <c r="O37">
        <v>2</v>
      </c>
      <c r="P37">
        <v>1</v>
      </c>
      <c r="Q37">
        <v>1</v>
      </c>
      <c r="R37" s="1">
        <f t="shared" si="2"/>
        <v>2</v>
      </c>
      <c r="S37" s="1">
        <f t="shared" si="3"/>
        <v>1</v>
      </c>
      <c r="T37" s="1">
        <f t="shared" si="4"/>
        <v>0</v>
      </c>
      <c r="U37" s="1">
        <f t="shared" si="5"/>
        <v>1</v>
      </c>
      <c r="V37" s="1">
        <f t="shared" si="6"/>
        <v>6</v>
      </c>
      <c r="W37" s="1" t="str">
        <f t="shared" si="7"/>
        <v>1BWH</v>
      </c>
      <c r="X37" t="s">
        <v>39</v>
      </c>
      <c r="Y37" t="s">
        <v>39</v>
      </c>
      <c r="AJ37">
        <f t="shared" si="8"/>
        <v>110</v>
      </c>
      <c r="AK37">
        <f t="shared" si="9"/>
        <v>1</v>
      </c>
      <c r="AL37">
        <f t="shared" si="10"/>
        <v>6</v>
      </c>
      <c r="AM37">
        <f t="shared" si="0"/>
        <v>1</v>
      </c>
      <c r="AN37">
        <f t="shared" si="11"/>
        <v>6</v>
      </c>
      <c r="AO37">
        <f t="shared" si="12"/>
        <v>1</v>
      </c>
      <c r="AP37">
        <f t="shared" si="13"/>
        <v>0</v>
      </c>
      <c r="AQ37">
        <f t="shared" si="1"/>
        <v>0</v>
      </c>
      <c r="AR37">
        <f t="shared" si="14"/>
        <v>0</v>
      </c>
    </row>
    <row r="38" spans="1:44" x14ac:dyDescent="0.25">
      <c r="A38" t="s">
        <v>75</v>
      </c>
      <c r="B38" t="s">
        <v>5</v>
      </c>
      <c r="C38" t="s">
        <v>7</v>
      </c>
      <c r="D38" t="s">
        <v>43</v>
      </c>
      <c r="E38" t="s">
        <v>43</v>
      </c>
      <c r="F38" t="s">
        <v>1</v>
      </c>
      <c r="H38" t="s">
        <v>2</v>
      </c>
      <c r="I38" s="1" t="s">
        <v>5</v>
      </c>
      <c r="J38" s="1" t="s">
        <v>7</v>
      </c>
      <c r="K38" s="1" t="s">
        <v>43</v>
      </c>
      <c r="L38" s="1" t="s">
        <v>43</v>
      </c>
      <c r="M38" s="1" t="b">
        <v>0</v>
      </c>
      <c r="N38" s="1"/>
      <c r="O38">
        <v>2</v>
      </c>
      <c r="P38">
        <v>1</v>
      </c>
      <c r="Q38">
        <v>5</v>
      </c>
      <c r="R38" s="1">
        <f t="shared" si="2"/>
        <v>2</v>
      </c>
      <c r="S38" s="1">
        <f t="shared" si="3"/>
        <v>1</v>
      </c>
      <c r="T38" s="1">
        <f t="shared" si="4"/>
        <v>0</v>
      </c>
      <c r="U38" s="1">
        <f t="shared" si="5"/>
        <v>1</v>
      </c>
      <c r="V38" s="1">
        <f t="shared" si="6"/>
        <v>7</v>
      </c>
      <c r="W38" s="1" t="str">
        <f t="shared" si="7"/>
        <v>1BWH</v>
      </c>
      <c r="X38" t="s">
        <v>39</v>
      </c>
      <c r="Y38" t="s">
        <v>39</v>
      </c>
      <c r="AJ38">
        <f t="shared" si="8"/>
        <v>111</v>
      </c>
      <c r="AK38">
        <f t="shared" si="9"/>
        <v>101</v>
      </c>
      <c r="AL38">
        <f t="shared" si="10"/>
        <v>7</v>
      </c>
      <c r="AM38">
        <f t="shared" si="0"/>
        <v>5</v>
      </c>
      <c r="AN38">
        <f t="shared" si="11"/>
        <v>7</v>
      </c>
      <c r="AO38">
        <f t="shared" si="12"/>
        <v>5</v>
      </c>
      <c r="AP38">
        <f t="shared" si="13"/>
        <v>0</v>
      </c>
      <c r="AQ38">
        <f t="shared" si="1"/>
        <v>0</v>
      </c>
      <c r="AR38">
        <f t="shared" si="14"/>
        <v>0</v>
      </c>
    </row>
    <row r="39" spans="1:44" x14ac:dyDescent="0.25">
      <c r="A39" t="s">
        <v>76</v>
      </c>
      <c r="B39" t="s">
        <v>5</v>
      </c>
      <c r="C39" t="s">
        <v>7</v>
      </c>
      <c r="F39" t="s">
        <v>1</v>
      </c>
      <c r="H39" t="s">
        <v>2</v>
      </c>
      <c r="I39" s="1" t="s">
        <v>5</v>
      </c>
      <c r="J39" s="1" t="s">
        <v>7</v>
      </c>
      <c r="K39" s="1"/>
      <c r="L39" s="1"/>
      <c r="M39" s="1" t="b">
        <v>0</v>
      </c>
      <c r="N39" s="1"/>
      <c r="O39">
        <v>0</v>
      </c>
      <c r="P39">
        <v>2</v>
      </c>
      <c r="Q39">
        <v>5</v>
      </c>
      <c r="R39" s="1">
        <f t="shared" si="2"/>
        <v>0</v>
      </c>
      <c r="S39" s="1">
        <f t="shared" si="3"/>
        <v>2</v>
      </c>
      <c r="T39" s="1">
        <f t="shared" si="4"/>
        <v>0</v>
      </c>
      <c r="U39" s="1">
        <f t="shared" si="5"/>
        <v>2</v>
      </c>
      <c r="V39" s="1">
        <f t="shared" si="6"/>
        <v>1</v>
      </c>
      <c r="W39" s="1" t="str">
        <f t="shared" si="7"/>
        <v>1BWH</v>
      </c>
      <c r="X39" t="s">
        <v>39</v>
      </c>
      <c r="Y39" t="s">
        <v>39</v>
      </c>
      <c r="AJ39">
        <f t="shared" si="8"/>
        <v>1</v>
      </c>
      <c r="AK39">
        <f t="shared" si="9"/>
        <v>101</v>
      </c>
      <c r="AL39">
        <f t="shared" si="10"/>
        <v>1</v>
      </c>
      <c r="AM39">
        <f t="shared" si="0"/>
        <v>5</v>
      </c>
      <c r="AN39">
        <f t="shared" si="11"/>
        <v>1</v>
      </c>
      <c r="AO39">
        <f t="shared" si="12"/>
        <v>5</v>
      </c>
      <c r="AP39">
        <f t="shared" si="13"/>
        <v>0</v>
      </c>
      <c r="AQ39">
        <f t="shared" si="1"/>
        <v>0</v>
      </c>
      <c r="AR39">
        <f t="shared" si="14"/>
        <v>0</v>
      </c>
    </row>
    <row r="40" spans="1:44" x14ac:dyDescent="0.25">
      <c r="A40" t="s">
        <v>77</v>
      </c>
      <c r="B40" t="s">
        <v>5</v>
      </c>
      <c r="D40" t="s">
        <v>43</v>
      </c>
      <c r="F40" t="s">
        <v>1</v>
      </c>
      <c r="I40" s="1" t="s">
        <v>5</v>
      </c>
      <c r="J40" s="1"/>
      <c r="K40" s="1" t="s">
        <v>43</v>
      </c>
      <c r="L40" s="1"/>
      <c r="M40" s="1" t="b">
        <v>0</v>
      </c>
      <c r="N40" s="1"/>
      <c r="O40">
        <v>1</v>
      </c>
      <c r="P40">
        <v>2</v>
      </c>
      <c r="Q40">
        <v>1</v>
      </c>
      <c r="R40" s="1">
        <f t="shared" si="2"/>
        <v>1</v>
      </c>
      <c r="S40" s="1">
        <f t="shared" si="3"/>
        <v>2</v>
      </c>
      <c r="T40" s="1">
        <f t="shared" si="4"/>
        <v>0</v>
      </c>
      <c r="U40" s="1">
        <f t="shared" si="5"/>
        <v>2</v>
      </c>
      <c r="V40" s="1">
        <f t="shared" si="6"/>
        <v>2</v>
      </c>
      <c r="W40" s="1" t="str">
        <f t="shared" si="7"/>
        <v>1BWH</v>
      </c>
      <c r="X40" t="s">
        <v>39</v>
      </c>
      <c r="Y40" t="s">
        <v>39</v>
      </c>
      <c r="AJ40">
        <f t="shared" si="8"/>
        <v>10</v>
      </c>
      <c r="AK40">
        <f t="shared" si="9"/>
        <v>1</v>
      </c>
      <c r="AL40">
        <f t="shared" si="10"/>
        <v>2</v>
      </c>
      <c r="AM40">
        <f t="shared" si="0"/>
        <v>1</v>
      </c>
      <c r="AN40">
        <f t="shared" si="11"/>
        <v>2</v>
      </c>
      <c r="AO40">
        <f t="shared" si="12"/>
        <v>1</v>
      </c>
      <c r="AP40">
        <f t="shared" si="13"/>
        <v>0</v>
      </c>
      <c r="AQ40">
        <f t="shared" si="1"/>
        <v>0</v>
      </c>
      <c r="AR40">
        <f t="shared" si="14"/>
        <v>0</v>
      </c>
    </row>
    <row r="41" spans="1:44" x14ac:dyDescent="0.25">
      <c r="A41" t="s">
        <v>78</v>
      </c>
      <c r="B41" t="s">
        <v>5</v>
      </c>
      <c r="C41" t="s">
        <v>7</v>
      </c>
      <c r="D41" t="s">
        <v>43</v>
      </c>
      <c r="F41" t="s">
        <v>1</v>
      </c>
      <c r="H41" t="s">
        <v>2</v>
      </c>
      <c r="I41" s="1" t="s">
        <v>5</v>
      </c>
      <c r="J41" s="1" t="s">
        <v>7</v>
      </c>
      <c r="K41" s="1" t="s">
        <v>43</v>
      </c>
      <c r="L41" s="1"/>
      <c r="M41" s="1" t="b">
        <v>0</v>
      </c>
      <c r="N41" s="1"/>
      <c r="O41">
        <v>1</v>
      </c>
      <c r="P41">
        <v>2</v>
      </c>
      <c r="Q41">
        <v>5</v>
      </c>
      <c r="R41" s="1">
        <f t="shared" si="2"/>
        <v>1</v>
      </c>
      <c r="S41" s="1">
        <f t="shared" si="3"/>
        <v>2</v>
      </c>
      <c r="T41" s="1">
        <f t="shared" si="4"/>
        <v>0</v>
      </c>
      <c r="U41" s="1">
        <f t="shared" si="5"/>
        <v>2</v>
      </c>
      <c r="V41" s="1">
        <f t="shared" si="6"/>
        <v>4</v>
      </c>
      <c r="W41" s="1" t="str">
        <f t="shared" si="7"/>
        <v>1BWH</v>
      </c>
      <c r="X41" t="s">
        <v>39</v>
      </c>
      <c r="Y41" t="s">
        <v>39</v>
      </c>
      <c r="AJ41">
        <f t="shared" si="8"/>
        <v>11</v>
      </c>
      <c r="AK41">
        <f t="shared" si="9"/>
        <v>101</v>
      </c>
      <c r="AL41">
        <f t="shared" si="10"/>
        <v>4</v>
      </c>
      <c r="AM41">
        <f t="shared" si="0"/>
        <v>5</v>
      </c>
      <c r="AN41">
        <f t="shared" si="11"/>
        <v>4</v>
      </c>
      <c r="AO41">
        <f t="shared" si="12"/>
        <v>5</v>
      </c>
      <c r="AP41">
        <f t="shared" si="13"/>
        <v>0</v>
      </c>
      <c r="AQ41">
        <f t="shared" si="1"/>
        <v>0</v>
      </c>
      <c r="AR41">
        <f t="shared" si="14"/>
        <v>0</v>
      </c>
    </row>
    <row r="42" spans="1:44" x14ac:dyDescent="0.25">
      <c r="A42" t="s">
        <v>79</v>
      </c>
      <c r="B42" t="s">
        <v>5</v>
      </c>
      <c r="C42" t="s">
        <v>7</v>
      </c>
      <c r="E42" t="s">
        <v>43</v>
      </c>
      <c r="F42" t="s">
        <v>1</v>
      </c>
      <c r="H42" t="s">
        <v>2</v>
      </c>
      <c r="I42" s="1" t="s">
        <v>5</v>
      </c>
      <c r="J42" s="1" t="s">
        <v>7</v>
      </c>
      <c r="K42" s="1"/>
      <c r="L42" s="1" t="s">
        <v>43</v>
      </c>
      <c r="M42" s="1" t="b">
        <v>0</v>
      </c>
      <c r="N42" s="1"/>
      <c r="O42">
        <v>1</v>
      </c>
      <c r="P42">
        <v>2</v>
      </c>
      <c r="Q42">
        <v>5</v>
      </c>
      <c r="R42" s="1">
        <f t="shared" si="2"/>
        <v>1</v>
      </c>
      <c r="S42" s="1">
        <f t="shared" si="3"/>
        <v>2</v>
      </c>
      <c r="T42" s="1">
        <f t="shared" si="4"/>
        <v>0</v>
      </c>
      <c r="U42" s="1">
        <f t="shared" si="5"/>
        <v>2</v>
      </c>
      <c r="V42" s="1">
        <f t="shared" si="6"/>
        <v>5</v>
      </c>
      <c r="W42" s="1" t="str">
        <f t="shared" si="7"/>
        <v>1BWH</v>
      </c>
      <c r="X42" t="s">
        <v>39</v>
      </c>
      <c r="Y42" t="s">
        <v>39</v>
      </c>
      <c r="AJ42">
        <f t="shared" si="8"/>
        <v>101</v>
      </c>
      <c r="AK42">
        <f t="shared" si="9"/>
        <v>101</v>
      </c>
      <c r="AL42">
        <f t="shared" si="10"/>
        <v>5</v>
      </c>
      <c r="AM42">
        <f t="shared" si="0"/>
        <v>5</v>
      </c>
      <c r="AN42">
        <f t="shared" si="11"/>
        <v>5</v>
      </c>
      <c r="AO42">
        <f t="shared" si="12"/>
        <v>5</v>
      </c>
      <c r="AP42">
        <f t="shared" si="13"/>
        <v>0</v>
      </c>
      <c r="AQ42">
        <f t="shared" si="1"/>
        <v>0</v>
      </c>
      <c r="AR42">
        <f t="shared" si="14"/>
        <v>0</v>
      </c>
    </row>
    <row r="43" spans="1:44" x14ac:dyDescent="0.25">
      <c r="A43" t="s">
        <v>80</v>
      </c>
      <c r="B43" t="s">
        <v>5</v>
      </c>
      <c r="D43" t="s">
        <v>43</v>
      </c>
      <c r="E43" t="s">
        <v>43</v>
      </c>
      <c r="F43" t="s">
        <v>1</v>
      </c>
      <c r="I43" s="1" t="s">
        <v>5</v>
      </c>
      <c r="J43" s="1"/>
      <c r="K43" s="1" t="s">
        <v>43</v>
      </c>
      <c r="L43" s="1" t="s">
        <v>43</v>
      </c>
      <c r="M43" s="1" t="b">
        <v>0</v>
      </c>
      <c r="N43" s="1"/>
      <c r="O43">
        <v>2</v>
      </c>
      <c r="P43">
        <v>2</v>
      </c>
      <c r="Q43">
        <v>1</v>
      </c>
      <c r="R43" s="1">
        <f t="shared" si="2"/>
        <v>2</v>
      </c>
      <c r="S43" s="1">
        <f t="shared" si="3"/>
        <v>2</v>
      </c>
      <c r="T43" s="1">
        <f t="shared" si="4"/>
        <v>0</v>
      </c>
      <c r="U43" s="1">
        <f t="shared" si="5"/>
        <v>2</v>
      </c>
      <c r="V43" s="1">
        <f t="shared" si="6"/>
        <v>6</v>
      </c>
      <c r="W43" s="1" t="str">
        <f t="shared" si="7"/>
        <v>1BWH</v>
      </c>
      <c r="X43" t="s">
        <v>39</v>
      </c>
      <c r="Y43" t="s">
        <v>39</v>
      </c>
      <c r="AJ43">
        <f t="shared" si="8"/>
        <v>110</v>
      </c>
      <c r="AK43">
        <f t="shared" si="9"/>
        <v>1</v>
      </c>
      <c r="AL43">
        <f t="shared" si="10"/>
        <v>6</v>
      </c>
      <c r="AM43">
        <f t="shared" si="0"/>
        <v>1</v>
      </c>
      <c r="AN43">
        <f t="shared" si="11"/>
        <v>6</v>
      </c>
      <c r="AO43">
        <f t="shared" si="12"/>
        <v>1</v>
      </c>
      <c r="AP43">
        <f t="shared" si="13"/>
        <v>0</v>
      </c>
      <c r="AQ43">
        <f t="shared" si="1"/>
        <v>0</v>
      </c>
      <c r="AR43">
        <f t="shared" si="14"/>
        <v>0</v>
      </c>
    </row>
    <row r="44" spans="1:44" x14ac:dyDescent="0.25">
      <c r="A44" t="s">
        <v>81</v>
      </c>
      <c r="B44" t="s">
        <v>5</v>
      </c>
      <c r="C44" t="s">
        <v>7</v>
      </c>
      <c r="D44" t="s">
        <v>43</v>
      </c>
      <c r="E44" t="s">
        <v>43</v>
      </c>
      <c r="F44" t="s">
        <v>1</v>
      </c>
      <c r="H44" t="s">
        <v>2</v>
      </c>
      <c r="I44" s="1" t="s">
        <v>5</v>
      </c>
      <c r="J44" s="1" t="s">
        <v>7</v>
      </c>
      <c r="K44" s="1" t="s">
        <v>43</v>
      </c>
      <c r="L44" s="1" t="s">
        <v>43</v>
      </c>
      <c r="M44" s="1" t="b">
        <v>0</v>
      </c>
      <c r="N44" s="1"/>
      <c r="O44">
        <v>2</v>
      </c>
      <c r="P44">
        <v>2</v>
      </c>
      <c r="Q44">
        <v>5</v>
      </c>
      <c r="R44" s="1">
        <f t="shared" si="2"/>
        <v>2</v>
      </c>
      <c r="S44" s="1">
        <f t="shared" si="3"/>
        <v>2</v>
      </c>
      <c r="T44" s="1">
        <f t="shared" si="4"/>
        <v>0</v>
      </c>
      <c r="U44" s="1">
        <f t="shared" si="5"/>
        <v>2</v>
      </c>
      <c r="V44" s="1">
        <f t="shared" si="6"/>
        <v>7</v>
      </c>
      <c r="W44" s="1" t="str">
        <f t="shared" si="7"/>
        <v>1BWH</v>
      </c>
      <c r="X44" t="s">
        <v>39</v>
      </c>
      <c r="Y44" t="s">
        <v>39</v>
      </c>
      <c r="AJ44">
        <f t="shared" si="8"/>
        <v>111</v>
      </c>
      <c r="AK44">
        <f t="shared" si="9"/>
        <v>101</v>
      </c>
      <c r="AL44">
        <f t="shared" si="10"/>
        <v>7</v>
      </c>
      <c r="AM44">
        <f t="shared" si="0"/>
        <v>5</v>
      </c>
      <c r="AN44">
        <f t="shared" si="11"/>
        <v>7</v>
      </c>
      <c r="AO44">
        <f t="shared" si="12"/>
        <v>5</v>
      </c>
      <c r="AP44">
        <f t="shared" si="13"/>
        <v>0</v>
      </c>
      <c r="AQ44">
        <f t="shared" si="1"/>
        <v>0</v>
      </c>
      <c r="AR44">
        <f t="shared" si="14"/>
        <v>0</v>
      </c>
    </row>
    <row r="45" spans="1:44" x14ac:dyDescent="0.25">
      <c r="A45" t="s">
        <v>82</v>
      </c>
      <c r="B45" t="s">
        <v>5</v>
      </c>
      <c r="C45" t="s">
        <v>6</v>
      </c>
      <c r="D45" t="s">
        <v>43</v>
      </c>
      <c r="F45" t="s">
        <v>1</v>
      </c>
      <c r="G45" t="s">
        <v>2</v>
      </c>
      <c r="I45" s="1" t="s">
        <v>5</v>
      </c>
      <c r="J45" s="1" t="s">
        <v>6</v>
      </c>
      <c r="K45" s="1" t="s">
        <v>43</v>
      </c>
      <c r="L45" s="1"/>
      <c r="M45" s="1" t="b">
        <v>0</v>
      </c>
      <c r="N45" s="1"/>
      <c r="O45">
        <v>1</v>
      </c>
      <c r="P45">
        <v>0</v>
      </c>
      <c r="Q45">
        <v>4</v>
      </c>
      <c r="R45" s="1">
        <f t="shared" si="2"/>
        <v>1</v>
      </c>
      <c r="S45" s="1">
        <f t="shared" si="3"/>
        <v>0</v>
      </c>
      <c r="T45" s="1">
        <f t="shared" si="4"/>
        <v>0</v>
      </c>
      <c r="U45" s="1">
        <f t="shared" si="5"/>
        <v>0</v>
      </c>
      <c r="V45" s="1">
        <f t="shared" si="6"/>
        <v>4</v>
      </c>
      <c r="W45" s="1" t="str">
        <f t="shared" si="7"/>
        <v>1BWH2</v>
      </c>
      <c r="X45" t="s">
        <v>39</v>
      </c>
      <c r="Y45" t="s">
        <v>39</v>
      </c>
      <c r="AJ45">
        <f t="shared" si="8"/>
        <v>11</v>
      </c>
      <c r="AK45">
        <f t="shared" si="9"/>
        <v>11</v>
      </c>
      <c r="AL45">
        <f t="shared" si="10"/>
        <v>4</v>
      </c>
      <c r="AM45">
        <f t="shared" si="0"/>
        <v>4</v>
      </c>
      <c r="AN45">
        <f t="shared" si="11"/>
        <v>4</v>
      </c>
      <c r="AO45">
        <f t="shared" si="12"/>
        <v>4</v>
      </c>
      <c r="AP45">
        <f t="shared" si="13"/>
        <v>0</v>
      </c>
      <c r="AQ45">
        <f t="shared" si="1"/>
        <v>0</v>
      </c>
      <c r="AR45">
        <f t="shared" si="14"/>
        <v>0</v>
      </c>
    </row>
    <row r="46" spans="1:44" x14ac:dyDescent="0.25">
      <c r="A46" t="s">
        <v>83</v>
      </c>
      <c r="B46" t="s">
        <v>5</v>
      </c>
      <c r="C46" t="s">
        <v>6</v>
      </c>
      <c r="D46" t="s">
        <v>43</v>
      </c>
      <c r="E46" t="s">
        <v>43</v>
      </c>
      <c r="F46" t="s">
        <v>1</v>
      </c>
      <c r="G46" t="s">
        <v>2</v>
      </c>
      <c r="I46" s="1" t="s">
        <v>5</v>
      </c>
      <c r="J46" s="1" t="s">
        <v>6</v>
      </c>
      <c r="K46" s="1" t="s">
        <v>43</v>
      </c>
      <c r="L46" s="1" t="s">
        <v>43</v>
      </c>
      <c r="M46" s="1" t="b">
        <v>0</v>
      </c>
      <c r="N46" s="1"/>
      <c r="O46">
        <v>2</v>
      </c>
      <c r="P46">
        <v>0</v>
      </c>
      <c r="Q46">
        <v>4</v>
      </c>
      <c r="R46" s="1">
        <f t="shared" si="2"/>
        <v>2</v>
      </c>
      <c r="S46" s="1">
        <f t="shared" si="3"/>
        <v>0</v>
      </c>
      <c r="T46" s="1">
        <f t="shared" si="4"/>
        <v>0</v>
      </c>
      <c r="U46" s="1">
        <f t="shared" si="5"/>
        <v>0</v>
      </c>
      <c r="V46" s="1">
        <f t="shared" si="6"/>
        <v>7</v>
      </c>
      <c r="W46" s="1" t="str">
        <f t="shared" si="7"/>
        <v>1BWH2</v>
      </c>
      <c r="X46" t="s">
        <v>39</v>
      </c>
      <c r="Y46" t="s">
        <v>39</v>
      </c>
      <c r="AJ46">
        <f t="shared" si="8"/>
        <v>111</v>
      </c>
      <c r="AK46">
        <f t="shared" si="9"/>
        <v>11</v>
      </c>
      <c r="AL46">
        <f t="shared" si="10"/>
        <v>7</v>
      </c>
      <c r="AM46">
        <f t="shared" si="0"/>
        <v>4</v>
      </c>
      <c r="AN46">
        <f t="shared" si="11"/>
        <v>7</v>
      </c>
      <c r="AO46">
        <f t="shared" si="12"/>
        <v>4</v>
      </c>
      <c r="AP46">
        <f t="shared" si="13"/>
        <v>0</v>
      </c>
      <c r="AQ46">
        <f t="shared" si="1"/>
        <v>0</v>
      </c>
      <c r="AR46">
        <f t="shared" si="14"/>
        <v>0</v>
      </c>
    </row>
    <row r="47" spans="1:44" x14ac:dyDescent="0.25">
      <c r="A47" t="s">
        <v>84</v>
      </c>
      <c r="B47" t="s">
        <v>5</v>
      </c>
      <c r="C47" t="s">
        <v>6</v>
      </c>
      <c r="D47" t="s">
        <v>43</v>
      </c>
      <c r="F47" t="s">
        <v>1</v>
      </c>
      <c r="G47" t="s">
        <v>2</v>
      </c>
      <c r="I47" s="1" t="s">
        <v>5</v>
      </c>
      <c r="J47" s="1" t="s">
        <v>6</v>
      </c>
      <c r="K47" s="1" t="s">
        <v>43</v>
      </c>
      <c r="L47" s="1"/>
      <c r="M47" s="1" t="b">
        <v>0</v>
      </c>
      <c r="N47" s="1"/>
      <c r="O47">
        <v>1</v>
      </c>
      <c r="P47">
        <v>1</v>
      </c>
      <c r="Q47">
        <v>4</v>
      </c>
      <c r="R47" s="1">
        <f t="shared" si="2"/>
        <v>1</v>
      </c>
      <c r="S47" s="1">
        <f t="shared" si="3"/>
        <v>1</v>
      </c>
      <c r="T47" s="1">
        <f t="shared" si="4"/>
        <v>0</v>
      </c>
      <c r="U47" s="1">
        <f t="shared" si="5"/>
        <v>1</v>
      </c>
      <c r="V47" s="1">
        <f t="shared" si="6"/>
        <v>4</v>
      </c>
      <c r="W47" s="1" t="str">
        <f t="shared" si="7"/>
        <v>1BWH2</v>
      </c>
      <c r="X47" t="s">
        <v>39</v>
      </c>
      <c r="Y47" t="s">
        <v>39</v>
      </c>
      <c r="AJ47">
        <f t="shared" si="8"/>
        <v>11</v>
      </c>
      <c r="AK47">
        <f t="shared" si="9"/>
        <v>11</v>
      </c>
      <c r="AL47">
        <f t="shared" si="10"/>
        <v>4</v>
      </c>
      <c r="AM47">
        <f t="shared" si="0"/>
        <v>4</v>
      </c>
      <c r="AN47">
        <f t="shared" si="11"/>
        <v>4</v>
      </c>
      <c r="AO47">
        <f t="shared" si="12"/>
        <v>4</v>
      </c>
      <c r="AP47">
        <f t="shared" si="13"/>
        <v>0</v>
      </c>
      <c r="AQ47">
        <f t="shared" si="1"/>
        <v>0</v>
      </c>
      <c r="AR47">
        <f t="shared" si="14"/>
        <v>0</v>
      </c>
    </row>
    <row r="48" spans="1:44" x14ac:dyDescent="0.25">
      <c r="A48" t="s">
        <v>85</v>
      </c>
      <c r="B48" t="s">
        <v>5</v>
      </c>
      <c r="C48" t="s">
        <v>6</v>
      </c>
      <c r="D48" t="s">
        <v>43</v>
      </c>
      <c r="E48" t="s">
        <v>43</v>
      </c>
      <c r="F48" t="s">
        <v>1</v>
      </c>
      <c r="G48" t="s">
        <v>2</v>
      </c>
      <c r="I48" s="1" t="s">
        <v>5</v>
      </c>
      <c r="J48" s="1" t="s">
        <v>6</v>
      </c>
      <c r="K48" s="1" t="s">
        <v>43</v>
      </c>
      <c r="L48" s="1" t="s">
        <v>43</v>
      </c>
      <c r="M48" s="1" t="b">
        <v>0</v>
      </c>
      <c r="N48" s="1"/>
      <c r="O48">
        <v>2</v>
      </c>
      <c r="P48">
        <v>1</v>
      </c>
      <c r="Q48">
        <v>4</v>
      </c>
      <c r="R48" s="1">
        <f t="shared" si="2"/>
        <v>2</v>
      </c>
      <c r="S48" s="1">
        <f t="shared" si="3"/>
        <v>1</v>
      </c>
      <c r="T48" s="1">
        <f t="shared" si="4"/>
        <v>0</v>
      </c>
      <c r="U48" s="1">
        <f t="shared" si="5"/>
        <v>1</v>
      </c>
      <c r="V48" s="1">
        <f t="shared" si="6"/>
        <v>7</v>
      </c>
      <c r="W48" s="1" t="str">
        <f t="shared" si="7"/>
        <v>1BWH2</v>
      </c>
      <c r="X48" t="s">
        <v>39</v>
      </c>
      <c r="Y48" t="s">
        <v>39</v>
      </c>
      <c r="AJ48">
        <f t="shared" si="8"/>
        <v>111</v>
      </c>
      <c r="AK48">
        <f t="shared" si="9"/>
        <v>11</v>
      </c>
      <c r="AL48">
        <f t="shared" si="10"/>
        <v>7</v>
      </c>
      <c r="AM48">
        <f t="shared" si="0"/>
        <v>4</v>
      </c>
      <c r="AN48">
        <f t="shared" si="11"/>
        <v>7</v>
      </c>
      <c r="AO48">
        <f t="shared" si="12"/>
        <v>4</v>
      </c>
      <c r="AP48">
        <f t="shared" si="13"/>
        <v>0</v>
      </c>
      <c r="AQ48">
        <f t="shared" si="1"/>
        <v>0</v>
      </c>
      <c r="AR48">
        <f t="shared" si="14"/>
        <v>0</v>
      </c>
    </row>
    <row r="49" spans="1:44" x14ac:dyDescent="0.25">
      <c r="A49" t="s">
        <v>86</v>
      </c>
      <c r="B49" t="s">
        <v>5</v>
      </c>
      <c r="C49" t="s">
        <v>6</v>
      </c>
      <c r="D49" t="s">
        <v>43</v>
      </c>
      <c r="F49" t="s">
        <v>1</v>
      </c>
      <c r="G49" t="s">
        <v>2</v>
      </c>
      <c r="I49" s="1" t="s">
        <v>5</v>
      </c>
      <c r="J49" s="1" t="s">
        <v>6</v>
      </c>
      <c r="K49" s="1" t="s">
        <v>43</v>
      </c>
      <c r="L49" s="1"/>
      <c r="M49" s="1" t="b">
        <v>0</v>
      </c>
      <c r="N49" s="1"/>
      <c r="O49">
        <v>1</v>
      </c>
      <c r="P49">
        <v>2</v>
      </c>
      <c r="Q49">
        <v>4</v>
      </c>
      <c r="R49" s="1">
        <f t="shared" si="2"/>
        <v>1</v>
      </c>
      <c r="S49" s="1">
        <f t="shared" si="3"/>
        <v>2</v>
      </c>
      <c r="T49" s="1">
        <f t="shared" si="4"/>
        <v>0</v>
      </c>
      <c r="U49" s="1">
        <f t="shared" si="5"/>
        <v>2</v>
      </c>
      <c r="V49" s="1">
        <f t="shared" si="6"/>
        <v>4</v>
      </c>
      <c r="W49" s="1" t="str">
        <f t="shared" si="7"/>
        <v>1BWH2</v>
      </c>
      <c r="X49" t="s">
        <v>39</v>
      </c>
      <c r="Y49" t="s">
        <v>39</v>
      </c>
      <c r="AJ49">
        <f t="shared" si="8"/>
        <v>11</v>
      </c>
      <c r="AK49">
        <f t="shared" si="9"/>
        <v>11</v>
      </c>
      <c r="AL49">
        <f t="shared" si="10"/>
        <v>4</v>
      </c>
      <c r="AM49">
        <f t="shared" si="0"/>
        <v>4</v>
      </c>
      <c r="AN49">
        <f t="shared" si="11"/>
        <v>4</v>
      </c>
      <c r="AO49">
        <f t="shared" si="12"/>
        <v>4</v>
      </c>
      <c r="AP49">
        <f t="shared" si="13"/>
        <v>0</v>
      </c>
      <c r="AQ49">
        <f t="shared" si="1"/>
        <v>0</v>
      </c>
      <c r="AR49">
        <f t="shared" si="14"/>
        <v>0</v>
      </c>
    </row>
    <row r="50" spans="1:44" x14ac:dyDescent="0.25">
      <c r="A50" t="s">
        <v>87</v>
      </c>
      <c r="B50" t="s">
        <v>5</v>
      </c>
      <c r="C50" t="s">
        <v>6</v>
      </c>
      <c r="D50" t="s">
        <v>43</v>
      </c>
      <c r="E50" t="s">
        <v>43</v>
      </c>
      <c r="F50" t="s">
        <v>1</v>
      </c>
      <c r="G50" t="s">
        <v>2</v>
      </c>
      <c r="I50" s="1" t="s">
        <v>5</v>
      </c>
      <c r="J50" s="1" t="s">
        <v>6</v>
      </c>
      <c r="K50" s="1" t="s">
        <v>43</v>
      </c>
      <c r="L50" s="1" t="s">
        <v>43</v>
      </c>
      <c r="M50" s="1" t="b">
        <v>0</v>
      </c>
      <c r="N50" s="1"/>
      <c r="O50">
        <v>2</v>
      </c>
      <c r="P50">
        <v>2</v>
      </c>
      <c r="Q50">
        <v>4</v>
      </c>
      <c r="R50" s="1">
        <f t="shared" si="2"/>
        <v>2</v>
      </c>
      <c r="S50" s="1">
        <f t="shared" si="3"/>
        <v>2</v>
      </c>
      <c r="T50" s="1">
        <f t="shared" si="4"/>
        <v>0</v>
      </c>
      <c r="U50" s="1">
        <f t="shared" si="5"/>
        <v>2</v>
      </c>
      <c r="V50" s="1">
        <f t="shared" si="6"/>
        <v>7</v>
      </c>
      <c r="W50" s="1" t="str">
        <f t="shared" si="7"/>
        <v>1BWH2</v>
      </c>
      <c r="X50" t="s">
        <v>39</v>
      </c>
      <c r="Y50" t="s">
        <v>39</v>
      </c>
      <c r="AJ50">
        <f t="shared" si="8"/>
        <v>111</v>
      </c>
      <c r="AK50">
        <f t="shared" si="9"/>
        <v>11</v>
      </c>
      <c r="AL50">
        <f t="shared" si="10"/>
        <v>7</v>
      </c>
      <c r="AM50">
        <f t="shared" si="0"/>
        <v>4</v>
      </c>
      <c r="AN50">
        <f t="shared" si="11"/>
        <v>7</v>
      </c>
      <c r="AO50">
        <f t="shared" si="12"/>
        <v>4</v>
      </c>
      <c r="AP50">
        <f t="shared" si="13"/>
        <v>0</v>
      </c>
      <c r="AQ50">
        <f t="shared" si="1"/>
        <v>0</v>
      </c>
      <c r="AR50">
        <f t="shared" si="14"/>
        <v>0</v>
      </c>
    </row>
    <row r="51" spans="1:44" x14ac:dyDescent="0.25">
      <c r="A51" t="s">
        <v>88</v>
      </c>
      <c r="B51" t="s">
        <v>6</v>
      </c>
      <c r="G51" t="s">
        <v>1</v>
      </c>
      <c r="I51" s="1" t="s">
        <v>6</v>
      </c>
      <c r="J51" s="1"/>
      <c r="K51" s="1"/>
      <c r="L51" s="1"/>
      <c r="M51" s="1" t="b">
        <v>0</v>
      </c>
      <c r="N51" s="1"/>
      <c r="O51">
        <v>0</v>
      </c>
      <c r="P51">
        <v>0</v>
      </c>
      <c r="Q51">
        <v>2</v>
      </c>
      <c r="R51" s="1">
        <f t="shared" si="2"/>
        <v>0</v>
      </c>
      <c r="S51" s="1">
        <f t="shared" si="3"/>
        <v>0</v>
      </c>
      <c r="T51" s="1">
        <f t="shared" si="4"/>
        <v>0</v>
      </c>
      <c r="U51" s="1">
        <f t="shared" si="5"/>
        <v>0</v>
      </c>
      <c r="V51" s="1">
        <f t="shared" si="6"/>
        <v>0</v>
      </c>
      <c r="W51" s="1" t="str">
        <f t="shared" si="7"/>
        <v>2B</v>
      </c>
      <c r="X51" t="s">
        <v>39</v>
      </c>
      <c r="Y51" t="s">
        <v>39</v>
      </c>
      <c r="AJ51">
        <f t="shared" si="8"/>
        <v>0</v>
      </c>
      <c r="AK51">
        <f t="shared" si="9"/>
        <v>10</v>
      </c>
      <c r="AL51">
        <f t="shared" si="10"/>
        <v>0</v>
      </c>
      <c r="AM51">
        <f t="shared" si="0"/>
        <v>2</v>
      </c>
      <c r="AN51">
        <f t="shared" si="11"/>
        <v>0</v>
      </c>
      <c r="AO51">
        <f t="shared" si="12"/>
        <v>2</v>
      </c>
      <c r="AP51">
        <f t="shared" si="13"/>
        <v>0</v>
      </c>
      <c r="AQ51">
        <f t="shared" si="1"/>
        <v>0</v>
      </c>
      <c r="AR51">
        <f t="shared" si="14"/>
        <v>0</v>
      </c>
    </row>
    <row r="52" spans="1:44" x14ac:dyDescent="0.25">
      <c r="A52" t="s">
        <v>89</v>
      </c>
      <c r="B52" t="s">
        <v>6</v>
      </c>
      <c r="C52" t="s">
        <v>7</v>
      </c>
      <c r="G52" t="s">
        <v>1</v>
      </c>
      <c r="H52" t="s">
        <v>2</v>
      </c>
      <c r="I52" s="1" t="s">
        <v>6</v>
      </c>
      <c r="J52" s="1" t="s">
        <v>7</v>
      </c>
      <c r="K52" s="1"/>
      <c r="L52" s="1"/>
      <c r="M52" s="1" t="b">
        <v>0</v>
      </c>
      <c r="N52" s="1"/>
      <c r="O52">
        <v>0</v>
      </c>
      <c r="P52">
        <v>0</v>
      </c>
      <c r="Q52">
        <v>6</v>
      </c>
      <c r="R52" s="1">
        <f t="shared" si="2"/>
        <v>0</v>
      </c>
      <c r="S52" s="1">
        <f t="shared" si="3"/>
        <v>0</v>
      </c>
      <c r="T52" s="1">
        <f t="shared" si="4"/>
        <v>0</v>
      </c>
      <c r="U52" s="1">
        <f t="shared" si="5"/>
        <v>0</v>
      </c>
      <c r="V52" s="1">
        <f t="shared" si="6"/>
        <v>1</v>
      </c>
      <c r="W52" s="1" t="str">
        <f t="shared" si="7"/>
        <v>2B</v>
      </c>
      <c r="X52" t="s">
        <v>39</v>
      </c>
      <c r="Y52" t="s">
        <v>39</v>
      </c>
      <c r="AJ52">
        <f t="shared" si="8"/>
        <v>1</v>
      </c>
      <c r="AK52">
        <f t="shared" si="9"/>
        <v>110</v>
      </c>
      <c r="AL52">
        <f t="shared" si="10"/>
        <v>1</v>
      </c>
      <c r="AM52">
        <f t="shared" si="0"/>
        <v>6</v>
      </c>
      <c r="AN52">
        <f t="shared" si="11"/>
        <v>1</v>
      </c>
      <c r="AO52">
        <f t="shared" si="12"/>
        <v>6</v>
      </c>
      <c r="AP52">
        <f t="shared" si="13"/>
        <v>0</v>
      </c>
      <c r="AQ52">
        <f t="shared" si="1"/>
        <v>0</v>
      </c>
      <c r="AR52">
        <f t="shared" si="14"/>
        <v>0</v>
      </c>
    </row>
    <row r="53" spans="1:44" x14ac:dyDescent="0.25">
      <c r="A53" t="s">
        <v>90</v>
      </c>
      <c r="B53" t="s">
        <v>6</v>
      </c>
      <c r="D53" t="s">
        <v>43</v>
      </c>
      <c r="G53" t="s">
        <v>1</v>
      </c>
      <c r="I53" s="1" t="s">
        <v>6</v>
      </c>
      <c r="J53" s="1"/>
      <c r="K53" s="1" t="s">
        <v>43</v>
      </c>
      <c r="L53" s="1"/>
      <c r="M53" s="1" t="b">
        <v>0</v>
      </c>
      <c r="N53" s="1"/>
      <c r="O53">
        <v>1</v>
      </c>
      <c r="P53">
        <v>0</v>
      </c>
      <c r="Q53">
        <v>2</v>
      </c>
      <c r="R53" s="1">
        <f t="shared" si="2"/>
        <v>1</v>
      </c>
      <c r="S53" s="1">
        <f t="shared" si="3"/>
        <v>0</v>
      </c>
      <c r="T53" s="1">
        <f t="shared" si="4"/>
        <v>0</v>
      </c>
      <c r="U53" s="1">
        <f t="shared" si="5"/>
        <v>0</v>
      </c>
      <c r="V53" s="1">
        <f t="shared" si="6"/>
        <v>2</v>
      </c>
      <c r="W53" s="1" t="str">
        <f t="shared" si="7"/>
        <v>2B</v>
      </c>
      <c r="X53" t="s">
        <v>39</v>
      </c>
      <c r="Y53" t="s">
        <v>39</v>
      </c>
      <c r="AJ53">
        <f t="shared" si="8"/>
        <v>10</v>
      </c>
      <c r="AK53">
        <f t="shared" si="9"/>
        <v>10</v>
      </c>
      <c r="AL53">
        <f t="shared" si="10"/>
        <v>2</v>
      </c>
      <c r="AM53">
        <f t="shared" si="0"/>
        <v>2</v>
      </c>
      <c r="AN53">
        <f t="shared" si="11"/>
        <v>2</v>
      </c>
      <c r="AO53">
        <f t="shared" si="12"/>
        <v>2</v>
      </c>
      <c r="AP53">
        <f t="shared" si="13"/>
        <v>0</v>
      </c>
      <c r="AQ53">
        <f t="shared" si="1"/>
        <v>0</v>
      </c>
      <c r="AR53">
        <f t="shared" si="14"/>
        <v>0</v>
      </c>
    </row>
    <row r="54" spans="1:44" x14ac:dyDescent="0.25">
      <c r="A54" t="s">
        <v>91</v>
      </c>
      <c r="B54" t="s">
        <v>6</v>
      </c>
      <c r="E54" t="s">
        <v>43</v>
      </c>
      <c r="G54" t="s">
        <v>1</v>
      </c>
      <c r="I54" s="1" t="s">
        <v>6</v>
      </c>
      <c r="J54" s="1"/>
      <c r="K54" s="1"/>
      <c r="L54" s="1" t="s">
        <v>43</v>
      </c>
      <c r="M54" s="1" t="b">
        <v>0</v>
      </c>
      <c r="N54" s="1"/>
      <c r="O54">
        <v>1</v>
      </c>
      <c r="P54">
        <v>0</v>
      </c>
      <c r="Q54">
        <v>2</v>
      </c>
      <c r="R54" s="1">
        <f t="shared" si="2"/>
        <v>1</v>
      </c>
      <c r="S54" s="1">
        <f t="shared" si="3"/>
        <v>0</v>
      </c>
      <c r="T54" s="1">
        <f t="shared" si="4"/>
        <v>0</v>
      </c>
      <c r="U54" s="1">
        <f t="shared" si="5"/>
        <v>0</v>
      </c>
      <c r="V54" s="1">
        <f t="shared" si="6"/>
        <v>3</v>
      </c>
      <c r="W54" s="1" t="str">
        <f t="shared" si="7"/>
        <v>2B</v>
      </c>
      <c r="X54" t="s">
        <v>39</v>
      </c>
      <c r="Y54" t="s">
        <v>39</v>
      </c>
      <c r="AJ54">
        <f t="shared" si="8"/>
        <v>100</v>
      </c>
      <c r="AK54">
        <f t="shared" si="9"/>
        <v>10</v>
      </c>
      <c r="AL54">
        <f t="shared" si="10"/>
        <v>3</v>
      </c>
      <c r="AM54">
        <f t="shared" si="0"/>
        <v>2</v>
      </c>
      <c r="AN54">
        <f t="shared" si="11"/>
        <v>3</v>
      </c>
      <c r="AO54">
        <f t="shared" si="12"/>
        <v>2</v>
      </c>
      <c r="AP54">
        <f t="shared" si="13"/>
        <v>0</v>
      </c>
      <c r="AQ54">
        <f t="shared" si="1"/>
        <v>0</v>
      </c>
      <c r="AR54">
        <f t="shared" si="14"/>
        <v>0</v>
      </c>
    </row>
    <row r="55" spans="1:44" x14ac:dyDescent="0.25">
      <c r="A55" t="s">
        <v>92</v>
      </c>
      <c r="B55" t="s">
        <v>6</v>
      </c>
      <c r="C55" t="s">
        <v>7</v>
      </c>
      <c r="D55" t="s">
        <v>43</v>
      </c>
      <c r="G55" t="s">
        <v>1</v>
      </c>
      <c r="H55" t="s">
        <v>2</v>
      </c>
      <c r="I55" s="1" t="s">
        <v>6</v>
      </c>
      <c r="J55" s="1" t="s">
        <v>7</v>
      </c>
      <c r="K55" s="1" t="s">
        <v>43</v>
      </c>
      <c r="L55" s="1"/>
      <c r="M55" s="1" t="b">
        <v>0</v>
      </c>
      <c r="N55" s="1"/>
      <c r="O55">
        <v>1</v>
      </c>
      <c r="P55">
        <v>0</v>
      </c>
      <c r="Q55">
        <v>6</v>
      </c>
      <c r="R55" s="1">
        <f t="shared" si="2"/>
        <v>1</v>
      </c>
      <c r="S55" s="1">
        <f t="shared" si="3"/>
        <v>0</v>
      </c>
      <c r="T55" s="1">
        <f t="shared" si="4"/>
        <v>0</v>
      </c>
      <c r="U55" s="1">
        <f t="shared" si="5"/>
        <v>0</v>
      </c>
      <c r="V55" s="1">
        <f t="shared" si="6"/>
        <v>4</v>
      </c>
      <c r="W55" s="1" t="str">
        <f t="shared" si="7"/>
        <v>2B</v>
      </c>
      <c r="X55" t="s">
        <v>39</v>
      </c>
      <c r="Y55" t="s">
        <v>39</v>
      </c>
      <c r="AJ55">
        <f t="shared" si="8"/>
        <v>11</v>
      </c>
      <c r="AK55">
        <f t="shared" si="9"/>
        <v>110</v>
      </c>
      <c r="AL55">
        <f t="shared" si="10"/>
        <v>4</v>
      </c>
      <c r="AM55">
        <f t="shared" si="0"/>
        <v>6</v>
      </c>
      <c r="AN55">
        <f t="shared" si="11"/>
        <v>4</v>
      </c>
      <c r="AO55">
        <f t="shared" si="12"/>
        <v>6</v>
      </c>
      <c r="AP55">
        <f t="shared" si="13"/>
        <v>0</v>
      </c>
      <c r="AQ55">
        <f t="shared" si="1"/>
        <v>0</v>
      </c>
      <c r="AR55">
        <f t="shared" si="14"/>
        <v>0</v>
      </c>
    </row>
    <row r="56" spans="1:44" x14ac:dyDescent="0.25">
      <c r="A56" t="s">
        <v>93</v>
      </c>
      <c r="B56" t="s">
        <v>6</v>
      </c>
      <c r="C56" t="s">
        <v>7</v>
      </c>
      <c r="E56" t="s">
        <v>43</v>
      </c>
      <c r="G56" t="s">
        <v>1</v>
      </c>
      <c r="H56" t="s">
        <v>2</v>
      </c>
      <c r="I56" s="1" t="s">
        <v>6</v>
      </c>
      <c r="J56" s="1" t="s">
        <v>7</v>
      </c>
      <c r="K56" s="1"/>
      <c r="L56" s="1" t="s">
        <v>43</v>
      </c>
      <c r="M56" s="1" t="b">
        <v>0</v>
      </c>
      <c r="N56" s="1"/>
      <c r="O56">
        <v>1</v>
      </c>
      <c r="P56">
        <v>0</v>
      </c>
      <c r="Q56">
        <v>6</v>
      </c>
      <c r="R56" s="1">
        <f t="shared" si="2"/>
        <v>1</v>
      </c>
      <c r="S56" s="1">
        <f t="shared" si="3"/>
        <v>0</v>
      </c>
      <c r="T56" s="1">
        <f t="shared" si="4"/>
        <v>0</v>
      </c>
      <c r="U56" s="1">
        <f t="shared" si="5"/>
        <v>0</v>
      </c>
      <c r="V56" s="1">
        <f t="shared" si="6"/>
        <v>5</v>
      </c>
      <c r="W56" s="1" t="str">
        <f t="shared" si="7"/>
        <v>2B</v>
      </c>
      <c r="X56" t="s">
        <v>39</v>
      </c>
      <c r="Y56" t="s">
        <v>39</v>
      </c>
      <c r="AJ56">
        <f t="shared" si="8"/>
        <v>101</v>
      </c>
      <c r="AK56">
        <f t="shared" si="9"/>
        <v>110</v>
      </c>
      <c r="AL56">
        <f t="shared" si="10"/>
        <v>5</v>
      </c>
      <c r="AM56">
        <f t="shared" si="0"/>
        <v>6</v>
      </c>
      <c r="AN56">
        <f t="shared" si="11"/>
        <v>5</v>
      </c>
      <c r="AO56">
        <f t="shared" si="12"/>
        <v>6</v>
      </c>
      <c r="AP56">
        <f t="shared" si="13"/>
        <v>0</v>
      </c>
      <c r="AQ56">
        <f t="shared" si="1"/>
        <v>0</v>
      </c>
      <c r="AR56">
        <f t="shared" si="14"/>
        <v>0</v>
      </c>
    </row>
    <row r="57" spans="1:44" x14ac:dyDescent="0.25">
      <c r="A57" t="s">
        <v>94</v>
      </c>
      <c r="B57" t="s">
        <v>6</v>
      </c>
      <c r="D57" t="s">
        <v>43</v>
      </c>
      <c r="E57" t="s">
        <v>43</v>
      </c>
      <c r="G57" t="s">
        <v>1</v>
      </c>
      <c r="I57" s="1" t="s">
        <v>6</v>
      </c>
      <c r="J57" s="1"/>
      <c r="K57" s="1" t="s">
        <v>43</v>
      </c>
      <c r="L57" s="1" t="s">
        <v>43</v>
      </c>
      <c r="M57" s="1" t="b">
        <v>0</v>
      </c>
      <c r="N57" s="1"/>
      <c r="O57">
        <v>2</v>
      </c>
      <c r="P57">
        <v>0</v>
      </c>
      <c r="Q57">
        <v>2</v>
      </c>
      <c r="R57" s="1">
        <f t="shared" si="2"/>
        <v>2</v>
      </c>
      <c r="S57" s="1">
        <f t="shared" si="3"/>
        <v>0</v>
      </c>
      <c r="T57" s="1">
        <f t="shared" si="4"/>
        <v>0</v>
      </c>
      <c r="U57" s="1">
        <f t="shared" si="5"/>
        <v>0</v>
      </c>
      <c r="V57" s="1">
        <f t="shared" si="6"/>
        <v>6</v>
      </c>
      <c r="W57" s="1" t="str">
        <f t="shared" si="7"/>
        <v>2B</v>
      </c>
      <c r="X57" t="s">
        <v>39</v>
      </c>
      <c r="Y57" t="s">
        <v>39</v>
      </c>
      <c r="AJ57">
        <f t="shared" si="8"/>
        <v>110</v>
      </c>
      <c r="AK57">
        <f t="shared" si="9"/>
        <v>10</v>
      </c>
      <c r="AL57">
        <f t="shared" si="10"/>
        <v>6</v>
      </c>
      <c r="AM57">
        <f t="shared" si="0"/>
        <v>2</v>
      </c>
      <c r="AN57">
        <f t="shared" si="11"/>
        <v>6</v>
      </c>
      <c r="AO57">
        <f t="shared" si="12"/>
        <v>2</v>
      </c>
      <c r="AP57">
        <f t="shared" si="13"/>
        <v>0</v>
      </c>
      <c r="AQ57">
        <f t="shared" si="1"/>
        <v>0</v>
      </c>
      <c r="AR57">
        <f t="shared" si="14"/>
        <v>0</v>
      </c>
    </row>
    <row r="58" spans="1:44" x14ac:dyDescent="0.25">
      <c r="A58" t="s">
        <v>95</v>
      </c>
      <c r="B58" t="s">
        <v>6</v>
      </c>
      <c r="C58" t="s">
        <v>7</v>
      </c>
      <c r="D58" t="s">
        <v>43</v>
      </c>
      <c r="E58" t="s">
        <v>43</v>
      </c>
      <c r="G58" t="s">
        <v>1</v>
      </c>
      <c r="H58" t="s">
        <v>2</v>
      </c>
      <c r="I58" s="1" t="s">
        <v>6</v>
      </c>
      <c r="J58" s="1" t="s">
        <v>7</v>
      </c>
      <c r="K58" s="1" t="s">
        <v>43</v>
      </c>
      <c r="L58" s="1" t="s">
        <v>43</v>
      </c>
      <c r="M58" s="1" t="b">
        <v>0</v>
      </c>
      <c r="N58" s="1"/>
      <c r="O58">
        <v>2</v>
      </c>
      <c r="P58">
        <v>0</v>
      </c>
      <c r="Q58">
        <v>6</v>
      </c>
      <c r="R58" s="1">
        <f t="shared" si="2"/>
        <v>2</v>
      </c>
      <c r="S58" s="1">
        <f t="shared" si="3"/>
        <v>0</v>
      </c>
      <c r="T58" s="1">
        <f t="shared" si="4"/>
        <v>0</v>
      </c>
      <c r="U58" s="1">
        <f t="shared" si="5"/>
        <v>0</v>
      </c>
      <c r="V58" s="1">
        <f t="shared" si="6"/>
        <v>7</v>
      </c>
      <c r="W58" s="1" t="str">
        <f t="shared" si="7"/>
        <v>2B</v>
      </c>
      <c r="X58" t="s">
        <v>39</v>
      </c>
      <c r="Y58" t="s">
        <v>39</v>
      </c>
      <c r="AJ58">
        <f t="shared" si="8"/>
        <v>111</v>
      </c>
      <c r="AK58">
        <f t="shared" si="9"/>
        <v>110</v>
      </c>
      <c r="AL58">
        <f t="shared" si="10"/>
        <v>7</v>
      </c>
      <c r="AM58">
        <f t="shared" si="0"/>
        <v>6</v>
      </c>
      <c r="AN58">
        <f t="shared" si="11"/>
        <v>7</v>
      </c>
      <c r="AO58">
        <f t="shared" si="12"/>
        <v>6</v>
      </c>
      <c r="AP58">
        <f t="shared" si="13"/>
        <v>0</v>
      </c>
      <c r="AQ58">
        <f t="shared" si="1"/>
        <v>0</v>
      </c>
      <c r="AR58">
        <f t="shared" si="14"/>
        <v>0</v>
      </c>
    </row>
    <row r="59" spans="1:44" x14ac:dyDescent="0.25">
      <c r="A59" t="s">
        <v>96</v>
      </c>
      <c r="B59" t="s">
        <v>6</v>
      </c>
      <c r="G59" t="s">
        <v>1</v>
      </c>
      <c r="I59" s="1" t="s">
        <v>6</v>
      </c>
      <c r="J59" s="1"/>
      <c r="K59" s="1"/>
      <c r="L59" s="1"/>
      <c r="M59" s="1" t="b">
        <v>0</v>
      </c>
      <c r="N59" s="1"/>
      <c r="O59">
        <v>0</v>
      </c>
      <c r="P59">
        <v>1</v>
      </c>
      <c r="Q59">
        <v>2</v>
      </c>
      <c r="R59" s="1">
        <f t="shared" si="2"/>
        <v>0</v>
      </c>
      <c r="S59" s="1">
        <f t="shared" si="3"/>
        <v>1</v>
      </c>
      <c r="T59" s="1">
        <f t="shared" si="4"/>
        <v>0</v>
      </c>
      <c r="U59" s="1">
        <f t="shared" si="5"/>
        <v>1</v>
      </c>
      <c r="V59" s="1">
        <f t="shared" si="6"/>
        <v>0</v>
      </c>
      <c r="W59" s="1" t="str">
        <f t="shared" si="7"/>
        <v>2B</v>
      </c>
      <c r="X59" t="s">
        <v>39</v>
      </c>
      <c r="Y59" t="s">
        <v>39</v>
      </c>
      <c r="AJ59">
        <f t="shared" si="8"/>
        <v>0</v>
      </c>
      <c r="AK59">
        <f t="shared" si="9"/>
        <v>10</v>
      </c>
      <c r="AL59">
        <f t="shared" si="10"/>
        <v>0</v>
      </c>
      <c r="AM59">
        <f t="shared" si="0"/>
        <v>2</v>
      </c>
      <c r="AN59">
        <f t="shared" si="11"/>
        <v>0</v>
      </c>
      <c r="AO59">
        <f t="shared" si="12"/>
        <v>2</v>
      </c>
      <c r="AP59">
        <f t="shared" si="13"/>
        <v>0</v>
      </c>
      <c r="AQ59">
        <f t="shared" si="1"/>
        <v>0</v>
      </c>
      <c r="AR59">
        <f t="shared" si="14"/>
        <v>0</v>
      </c>
    </row>
    <row r="60" spans="1:44" x14ac:dyDescent="0.25">
      <c r="A60" t="s">
        <v>97</v>
      </c>
      <c r="B60" t="s">
        <v>6</v>
      </c>
      <c r="C60" t="s">
        <v>7</v>
      </c>
      <c r="G60" t="s">
        <v>1</v>
      </c>
      <c r="H60" t="s">
        <v>2</v>
      </c>
      <c r="I60" s="1" t="s">
        <v>6</v>
      </c>
      <c r="J60" s="1" t="s">
        <v>7</v>
      </c>
      <c r="K60" s="1"/>
      <c r="L60" s="1"/>
      <c r="M60" s="1" t="b">
        <v>0</v>
      </c>
      <c r="N60" s="1"/>
      <c r="O60">
        <v>0</v>
      </c>
      <c r="P60">
        <v>1</v>
      </c>
      <c r="Q60">
        <v>6</v>
      </c>
      <c r="R60" s="1">
        <f t="shared" si="2"/>
        <v>0</v>
      </c>
      <c r="S60" s="1">
        <f t="shared" si="3"/>
        <v>1</v>
      </c>
      <c r="T60" s="1">
        <f t="shared" si="4"/>
        <v>0</v>
      </c>
      <c r="U60" s="1">
        <f t="shared" si="5"/>
        <v>1</v>
      </c>
      <c r="V60" s="1">
        <f t="shared" si="6"/>
        <v>1</v>
      </c>
      <c r="W60" s="1" t="str">
        <f t="shared" si="7"/>
        <v>2B</v>
      </c>
      <c r="X60" t="s">
        <v>39</v>
      </c>
      <c r="Y60" t="s">
        <v>39</v>
      </c>
      <c r="AJ60">
        <f t="shared" si="8"/>
        <v>1</v>
      </c>
      <c r="AK60">
        <f t="shared" si="9"/>
        <v>110</v>
      </c>
      <c r="AL60">
        <f t="shared" si="10"/>
        <v>1</v>
      </c>
      <c r="AM60">
        <f t="shared" si="0"/>
        <v>6</v>
      </c>
      <c r="AN60">
        <f t="shared" si="11"/>
        <v>1</v>
      </c>
      <c r="AO60">
        <f t="shared" si="12"/>
        <v>6</v>
      </c>
      <c r="AP60">
        <f t="shared" si="13"/>
        <v>0</v>
      </c>
      <c r="AQ60">
        <f t="shared" si="1"/>
        <v>0</v>
      </c>
      <c r="AR60">
        <f t="shared" si="14"/>
        <v>0</v>
      </c>
    </row>
    <row r="61" spans="1:44" x14ac:dyDescent="0.25">
      <c r="A61" t="s">
        <v>98</v>
      </c>
      <c r="B61" t="s">
        <v>6</v>
      </c>
      <c r="D61" t="s">
        <v>43</v>
      </c>
      <c r="G61" t="s">
        <v>1</v>
      </c>
      <c r="I61" s="1" t="s">
        <v>6</v>
      </c>
      <c r="J61" s="1"/>
      <c r="K61" s="1" t="s">
        <v>43</v>
      </c>
      <c r="L61" s="1"/>
      <c r="M61" s="1" t="b">
        <v>0</v>
      </c>
      <c r="N61" s="1"/>
      <c r="O61">
        <v>1</v>
      </c>
      <c r="P61">
        <v>1</v>
      </c>
      <c r="Q61">
        <v>2</v>
      </c>
      <c r="R61" s="1">
        <f t="shared" si="2"/>
        <v>1</v>
      </c>
      <c r="S61" s="1">
        <f t="shared" si="3"/>
        <v>1</v>
      </c>
      <c r="T61" s="1">
        <f t="shared" si="4"/>
        <v>0</v>
      </c>
      <c r="U61" s="1">
        <f t="shared" si="5"/>
        <v>1</v>
      </c>
      <c r="V61" s="1">
        <f t="shared" si="6"/>
        <v>2</v>
      </c>
      <c r="W61" s="1" t="str">
        <f t="shared" si="7"/>
        <v>2B</v>
      </c>
      <c r="X61" t="s">
        <v>39</v>
      </c>
      <c r="Y61" t="s">
        <v>39</v>
      </c>
      <c r="AJ61">
        <f t="shared" si="8"/>
        <v>10</v>
      </c>
      <c r="AK61">
        <f t="shared" si="9"/>
        <v>10</v>
      </c>
      <c r="AL61">
        <f t="shared" si="10"/>
        <v>2</v>
      </c>
      <c r="AM61">
        <f t="shared" si="0"/>
        <v>2</v>
      </c>
      <c r="AN61">
        <f t="shared" si="11"/>
        <v>2</v>
      </c>
      <c r="AO61">
        <f t="shared" si="12"/>
        <v>2</v>
      </c>
      <c r="AP61">
        <f t="shared" si="13"/>
        <v>0</v>
      </c>
      <c r="AQ61">
        <f t="shared" si="1"/>
        <v>0</v>
      </c>
      <c r="AR61">
        <f t="shared" si="14"/>
        <v>0</v>
      </c>
    </row>
    <row r="62" spans="1:44" x14ac:dyDescent="0.25">
      <c r="A62" t="s">
        <v>99</v>
      </c>
      <c r="B62" t="s">
        <v>6</v>
      </c>
      <c r="E62" t="s">
        <v>43</v>
      </c>
      <c r="G62" t="s">
        <v>1</v>
      </c>
      <c r="I62" s="1" t="s">
        <v>6</v>
      </c>
      <c r="J62" s="1"/>
      <c r="K62" s="1"/>
      <c r="L62" s="1" t="s">
        <v>43</v>
      </c>
      <c r="M62" s="1" t="b">
        <v>0</v>
      </c>
      <c r="N62" s="1"/>
      <c r="O62">
        <v>1</v>
      </c>
      <c r="P62">
        <v>1</v>
      </c>
      <c r="Q62">
        <v>2</v>
      </c>
      <c r="R62" s="1">
        <f t="shared" si="2"/>
        <v>1</v>
      </c>
      <c r="S62" s="1">
        <f t="shared" si="3"/>
        <v>1</v>
      </c>
      <c r="T62" s="1">
        <f t="shared" si="4"/>
        <v>0</v>
      </c>
      <c r="U62" s="1">
        <f t="shared" si="5"/>
        <v>1</v>
      </c>
      <c r="V62" s="1">
        <f t="shared" si="6"/>
        <v>3</v>
      </c>
      <c r="W62" s="1" t="str">
        <f t="shared" si="7"/>
        <v>2B</v>
      </c>
      <c r="X62" t="s">
        <v>39</v>
      </c>
      <c r="Y62" t="s">
        <v>39</v>
      </c>
      <c r="AJ62">
        <f t="shared" si="8"/>
        <v>100</v>
      </c>
      <c r="AK62">
        <f t="shared" si="9"/>
        <v>10</v>
      </c>
      <c r="AL62">
        <f t="shared" si="10"/>
        <v>3</v>
      </c>
      <c r="AM62">
        <f t="shared" si="0"/>
        <v>2</v>
      </c>
      <c r="AN62">
        <f t="shared" si="11"/>
        <v>3</v>
      </c>
      <c r="AO62">
        <f t="shared" si="12"/>
        <v>2</v>
      </c>
      <c r="AP62">
        <f t="shared" si="13"/>
        <v>0</v>
      </c>
      <c r="AQ62">
        <f t="shared" si="1"/>
        <v>0</v>
      </c>
      <c r="AR62">
        <f t="shared" si="14"/>
        <v>0</v>
      </c>
    </row>
    <row r="63" spans="1:44" x14ac:dyDescent="0.25">
      <c r="A63" t="s">
        <v>100</v>
      </c>
      <c r="B63" t="s">
        <v>6</v>
      </c>
      <c r="C63" t="s">
        <v>7</v>
      </c>
      <c r="D63" t="s">
        <v>43</v>
      </c>
      <c r="G63" t="s">
        <v>1</v>
      </c>
      <c r="H63" t="s">
        <v>2</v>
      </c>
      <c r="I63" s="1" t="s">
        <v>6</v>
      </c>
      <c r="J63" s="1" t="s">
        <v>7</v>
      </c>
      <c r="K63" s="1" t="s">
        <v>43</v>
      </c>
      <c r="L63" s="1"/>
      <c r="M63" s="1" t="b">
        <v>0</v>
      </c>
      <c r="N63" s="1"/>
      <c r="O63">
        <v>1</v>
      </c>
      <c r="P63">
        <v>1</v>
      </c>
      <c r="Q63">
        <v>6</v>
      </c>
      <c r="R63" s="1">
        <f t="shared" si="2"/>
        <v>1</v>
      </c>
      <c r="S63" s="1">
        <f t="shared" si="3"/>
        <v>1</v>
      </c>
      <c r="T63" s="1">
        <f t="shared" si="4"/>
        <v>0</v>
      </c>
      <c r="U63" s="1">
        <f t="shared" si="5"/>
        <v>1</v>
      </c>
      <c r="V63" s="1">
        <f t="shared" si="6"/>
        <v>4</v>
      </c>
      <c r="W63" s="1" t="str">
        <f t="shared" si="7"/>
        <v>2B</v>
      </c>
      <c r="X63" t="s">
        <v>39</v>
      </c>
      <c r="Y63" t="s">
        <v>39</v>
      </c>
      <c r="AJ63">
        <f t="shared" si="8"/>
        <v>11</v>
      </c>
      <c r="AK63">
        <f t="shared" si="9"/>
        <v>110</v>
      </c>
      <c r="AL63">
        <f t="shared" si="10"/>
        <v>4</v>
      </c>
      <c r="AM63">
        <f t="shared" si="0"/>
        <v>6</v>
      </c>
      <c r="AN63">
        <f t="shared" si="11"/>
        <v>4</v>
      </c>
      <c r="AO63">
        <f t="shared" si="12"/>
        <v>6</v>
      </c>
      <c r="AP63">
        <f t="shared" si="13"/>
        <v>0</v>
      </c>
      <c r="AQ63">
        <f t="shared" si="1"/>
        <v>0</v>
      </c>
      <c r="AR63">
        <f t="shared" si="14"/>
        <v>0</v>
      </c>
    </row>
    <row r="64" spans="1:44" x14ac:dyDescent="0.25">
      <c r="A64" t="s">
        <v>101</v>
      </c>
      <c r="B64" t="s">
        <v>6</v>
      </c>
      <c r="C64" t="s">
        <v>7</v>
      </c>
      <c r="E64" t="s">
        <v>43</v>
      </c>
      <c r="G64" t="s">
        <v>1</v>
      </c>
      <c r="H64" t="s">
        <v>2</v>
      </c>
      <c r="I64" s="1" t="s">
        <v>6</v>
      </c>
      <c r="J64" s="1" t="s">
        <v>7</v>
      </c>
      <c r="K64" s="1"/>
      <c r="L64" s="1" t="s">
        <v>43</v>
      </c>
      <c r="M64" s="1" t="b">
        <v>0</v>
      </c>
      <c r="N64" s="1"/>
      <c r="O64">
        <v>1</v>
      </c>
      <c r="P64">
        <v>1</v>
      </c>
      <c r="Q64">
        <v>6</v>
      </c>
      <c r="R64" s="1">
        <f t="shared" si="2"/>
        <v>1</v>
      </c>
      <c r="S64" s="1">
        <f t="shared" si="3"/>
        <v>1</v>
      </c>
      <c r="T64" s="1">
        <f t="shared" si="4"/>
        <v>0</v>
      </c>
      <c r="U64" s="1">
        <f t="shared" si="5"/>
        <v>1</v>
      </c>
      <c r="V64" s="1">
        <f t="shared" si="6"/>
        <v>5</v>
      </c>
      <c r="W64" s="1" t="str">
        <f t="shared" si="7"/>
        <v>2B</v>
      </c>
      <c r="X64" t="s">
        <v>39</v>
      </c>
      <c r="Y64" t="s">
        <v>39</v>
      </c>
      <c r="AJ64">
        <f t="shared" si="8"/>
        <v>101</v>
      </c>
      <c r="AK64">
        <f t="shared" si="9"/>
        <v>110</v>
      </c>
      <c r="AL64">
        <f t="shared" si="10"/>
        <v>5</v>
      </c>
      <c r="AM64">
        <f t="shared" si="0"/>
        <v>6</v>
      </c>
      <c r="AN64">
        <f t="shared" si="11"/>
        <v>5</v>
      </c>
      <c r="AO64">
        <f t="shared" si="12"/>
        <v>6</v>
      </c>
      <c r="AP64">
        <f t="shared" si="13"/>
        <v>0</v>
      </c>
      <c r="AQ64">
        <f t="shared" si="1"/>
        <v>0</v>
      </c>
      <c r="AR64">
        <f t="shared" si="14"/>
        <v>0</v>
      </c>
    </row>
    <row r="65" spans="1:44" x14ac:dyDescent="0.25">
      <c r="A65" t="s">
        <v>102</v>
      </c>
      <c r="B65" t="s">
        <v>6</v>
      </c>
      <c r="D65" t="s">
        <v>43</v>
      </c>
      <c r="E65" t="s">
        <v>43</v>
      </c>
      <c r="G65" t="s">
        <v>1</v>
      </c>
      <c r="I65" s="1" t="s">
        <v>6</v>
      </c>
      <c r="J65" s="1"/>
      <c r="K65" s="1" t="s">
        <v>43</v>
      </c>
      <c r="L65" s="1" t="s">
        <v>43</v>
      </c>
      <c r="M65" s="1" t="b">
        <v>0</v>
      </c>
      <c r="N65" s="1"/>
      <c r="O65">
        <v>2</v>
      </c>
      <c r="P65">
        <v>1</v>
      </c>
      <c r="Q65">
        <v>2</v>
      </c>
      <c r="R65" s="1">
        <f t="shared" si="2"/>
        <v>2</v>
      </c>
      <c r="S65" s="1">
        <f t="shared" si="3"/>
        <v>1</v>
      </c>
      <c r="T65" s="1">
        <f t="shared" si="4"/>
        <v>0</v>
      </c>
      <c r="U65" s="1">
        <f t="shared" si="5"/>
        <v>1</v>
      </c>
      <c r="V65" s="1">
        <f t="shared" si="6"/>
        <v>6</v>
      </c>
      <c r="W65" s="1" t="str">
        <f t="shared" si="7"/>
        <v>2B</v>
      </c>
      <c r="X65" t="s">
        <v>39</v>
      </c>
      <c r="Y65" t="s">
        <v>39</v>
      </c>
      <c r="AJ65">
        <f t="shared" si="8"/>
        <v>110</v>
      </c>
      <c r="AK65">
        <f t="shared" si="9"/>
        <v>10</v>
      </c>
      <c r="AL65">
        <f t="shared" si="10"/>
        <v>6</v>
      </c>
      <c r="AM65">
        <f t="shared" si="0"/>
        <v>2</v>
      </c>
      <c r="AN65">
        <f t="shared" si="11"/>
        <v>6</v>
      </c>
      <c r="AO65">
        <f t="shared" si="12"/>
        <v>2</v>
      </c>
      <c r="AP65">
        <f t="shared" si="13"/>
        <v>0</v>
      </c>
      <c r="AQ65">
        <f t="shared" si="1"/>
        <v>0</v>
      </c>
      <c r="AR65">
        <f t="shared" si="14"/>
        <v>0</v>
      </c>
    </row>
    <row r="66" spans="1:44" x14ac:dyDescent="0.25">
      <c r="A66" t="s">
        <v>103</v>
      </c>
      <c r="B66" t="s">
        <v>6</v>
      </c>
      <c r="C66" t="s">
        <v>7</v>
      </c>
      <c r="D66" t="s">
        <v>43</v>
      </c>
      <c r="E66" t="s">
        <v>43</v>
      </c>
      <c r="G66" t="s">
        <v>1</v>
      </c>
      <c r="H66" t="s">
        <v>2</v>
      </c>
      <c r="I66" s="1" t="s">
        <v>6</v>
      </c>
      <c r="J66" s="1" t="s">
        <v>7</v>
      </c>
      <c r="K66" s="1" t="s">
        <v>43</v>
      </c>
      <c r="L66" s="1" t="s">
        <v>43</v>
      </c>
      <c r="M66" s="1" t="b">
        <v>0</v>
      </c>
      <c r="N66" s="1"/>
      <c r="O66">
        <v>2</v>
      </c>
      <c r="P66">
        <v>1</v>
      </c>
      <c r="Q66">
        <v>6</v>
      </c>
      <c r="R66" s="1">
        <f t="shared" si="2"/>
        <v>2</v>
      </c>
      <c r="S66" s="1">
        <f t="shared" si="3"/>
        <v>1</v>
      </c>
      <c r="T66" s="1">
        <f t="shared" si="4"/>
        <v>0</v>
      </c>
      <c r="U66" s="1">
        <f t="shared" si="5"/>
        <v>1</v>
      </c>
      <c r="V66" s="1">
        <f t="shared" si="6"/>
        <v>7</v>
      </c>
      <c r="W66" s="1" t="str">
        <f t="shared" si="7"/>
        <v>2B</v>
      </c>
      <c r="X66" t="s">
        <v>39</v>
      </c>
      <c r="Y66" t="s">
        <v>39</v>
      </c>
      <c r="AJ66">
        <f t="shared" si="8"/>
        <v>111</v>
      </c>
      <c r="AK66">
        <f t="shared" si="9"/>
        <v>110</v>
      </c>
      <c r="AL66">
        <f t="shared" si="10"/>
        <v>7</v>
      </c>
      <c r="AM66">
        <f t="shared" si="0"/>
        <v>6</v>
      </c>
      <c r="AN66">
        <f t="shared" si="11"/>
        <v>7</v>
      </c>
      <c r="AO66">
        <f t="shared" si="12"/>
        <v>6</v>
      </c>
      <c r="AP66">
        <f t="shared" si="13"/>
        <v>0</v>
      </c>
      <c r="AQ66">
        <f t="shared" si="1"/>
        <v>0</v>
      </c>
      <c r="AR66">
        <f t="shared" si="14"/>
        <v>0</v>
      </c>
    </row>
    <row r="67" spans="1:44" x14ac:dyDescent="0.25">
      <c r="A67" t="s">
        <v>104</v>
      </c>
      <c r="B67" t="s">
        <v>6</v>
      </c>
      <c r="G67" t="s">
        <v>1</v>
      </c>
      <c r="I67" s="1" t="s">
        <v>6</v>
      </c>
      <c r="J67" s="1"/>
      <c r="K67" s="1"/>
      <c r="L67" s="1"/>
      <c r="M67" s="1" t="b">
        <v>0</v>
      </c>
      <c r="N67" s="1"/>
      <c r="O67">
        <v>0</v>
      </c>
      <c r="P67">
        <v>2</v>
      </c>
      <c r="Q67">
        <v>2</v>
      </c>
      <c r="R67" s="1">
        <f t="shared" si="2"/>
        <v>0</v>
      </c>
      <c r="S67" s="1">
        <f t="shared" si="3"/>
        <v>2</v>
      </c>
      <c r="T67" s="1">
        <f t="shared" si="4"/>
        <v>0</v>
      </c>
      <c r="U67" s="1">
        <f t="shared" si="5"/>
        <v>2</v>
      </c>
      <c r="V67" s="1">
        <f t="shared" si="6"/>
        <v>0</v>
      </c>
      <c r="W67" s="1" t="str">
        <f t="shared" si="7"/>
        <v>2B</v>
      </c>
      <c r="X67" t="s">
        <v>39</v>
      </c>
      <c r="Y67" t="s">
        <v>39</v>
      </c>
      <c r="AJ67">
        <f t="shared" si="8"/>
        <v>0</v>
      </c>
      <c r="AK67">
        <f t="shared" si="9"/>
        <v>10</v>
      </c>
      <c r="AL67">
        <f t="shared" si="10"/>
        <v>0</v>
      </c>
      <c r="AM67">
        <f t="shared" ref="AM67:AM130" si="15">INDEX($AU$3:$AU$10,MATCH(AK67,$AT$3:$AT$10,0))</f>
        <v>2</v>
      </c>
      <c r="AN67">
        <f t="shared" si="11"/>
        <v>0</v>
      </c>
      <c r="AO67">
        <f t="shared" si="12"/>
        <v>2</v>
      </c>
      <c r="AP67">
        <f t="shared" si="13"/>
        <v>0</v>
      </c>
      <c r="AQ67">
        <f t="shared" ref="AQ67:AQ130" si="16">N(AM67&lt;&gt;AO67)</f>
        <v>0</v>
      </c>
      <c r="AR67">
        <f t="shared" si="14"/>
        <v>0</v>
      </c>
    </row>
    <row r="68" spans="1:44" x14ac:dyDescent="0.25">
      <c r="A68" t="s">
        <v>105</v>
      </c>
      <c r="B68" t="s">
        <v>6</v>
      </c>
      <c r="C68" t="s">
        <v>7</v>
      </c>
      <c r="G68" t="s">
        <v>1</v>
      </c>
      <c r="H68" t="s">
        <v>2</v>
      </c>
      <c r="I68" s="1" t="s">
        <v>6</v>
      </c>
      <c r="J68" s="1" t="s">
        <v>7</v>
      </c>
      <c r="K68" s="1"/>
      <c r="L68" s="1"/>
      <c r="M68" s="1" t="b">
        <v>0</v>
      </c>
      <c r="N68" s="1"/>
      <c r="O68">
        <v>0</v>
      </c>
      <c r="P68">
        <v>2</v>
      </c>
      <c r="Q68">
        <v>6</v>
      </c>
      <c r="R68" s="1">
        <f t="shared" ref="R68:R131" si="17">COUNTIF(B68:E68,"b4")</f>
        <v>0</v>
      </c>
      <c r="S68" s="1">
        <f t="shared" ref="S68:S131" si="18">VALUE(LEFT(A68,1))</f>
        <v>2</v>
      </c>
      <c r="T68" s="1">
        <f t="shared" ref="T68:T131" si="19">COUNTIF(B68:E68,0)</f>
        <v>0</v>
      </c>
      <c r="U68" s="1">
        <f t="shared" ref="U68:U131" si="20">S68+T68</f>
        <v>2</v>
      </c>
      <c r="V68" s="1">
        <f t="shared" ref="V68:V131" si="21">VALUE(_xlfn.TEXTBEFORE(_xlfn.TEXTAFTER(A68,"_"),"_"))</f>
        <v>1</v>
      </c>
      <c r="W68" s="1" t="str">
        <f t="shared" ref="W68:W131" si="22">_xlfn.TEXTAFTER(A68,"_",-1)</f>
        <v>2B</v>
      </c>
      <c r="X68" t="s">
        <v>39</v>
      </c>
      <c r="Y68" t="s">
        <v>39</v>
      </c>
      <c r="AJ68">
        <f t="shared" ref="AJ68:AJ131" si="23">VALUE(IF(E68&lt;&gt;"","1","0")&amp;IF(D68&lt;&gt;"","1","0")&amp;IF(C68&lt;&gt;"","1","0"))</f>
        <v>1</v>
      </c>
      <c r="AK68">
        <f t="shared" ref="AK68:AK131" si="24">VALUE(IF(H68&lt;&gt;"","1","0")&amp;IF(G68&lt;&gt;"","1","0")&amp;IF(F68&lt;&gt;"","1","0"))</f>
        <v>110</v>
      </c>
      <c r="AL68">
        <f t="shared" ref="AL68:AL131" si="25">INDEX($AU$3:$AU$10,MATCH(AJ68,$AT$3:$AT$10,0))</f>
        <v>1</v>
      </c>
      <c r="AM68">
        <f t="shared" si="15"/>
        <v>6</v>
      </c>
      <c r="AN68">
        <f t="shared" ref="AN68:AN131" si="26">VALUE(_xlfn.TEXTBEFORE(_xlfn.TEXTAFTER(A68,"_"),"_"))</f>
        <v>1</v>
      </c>
      <c r="AO68">
        <f t="shared" ref="AO68:AO131" si="27">Q68</f>
        <v>6</v>
      </c>
      <c r="AP68">
        <f t="shared" ref="AP68:AP131" si="28">N(AL68&lt;&gt;AN68)</f>
        <v>0</v>
      </c>
      <c r="AQ68">
        <f t="shared" si="16"/>
        <v>0</v>
      </c>
      <c r="AR68">
        <f t="shared" ref="AR68:AR131" si="29">N(OR(AP68,AQ68))</f>
        <v>0</v>
      </c>
    </row>
    <row r="69" spans="1:44" x14ac:dyDescent="0.25">
      <c r="A69" t="s">
        <v>106</v>
      </c>
      <c r="B69" t="s">
        <v>6</v>
      </c>
      <c r="D69" t="s">
        <v>43</v>
      </c>
      <c r="G69" t="s">
        <v>1</v>
      </c>
      <c r="I69" s="1" t="s">
        <v>6</v>
      </c>
      <c r="J69" s="1"/>
      <c r="K69" s="1" t="s">
        <v>43</v>
      </c>
      <c r="L69" s="1"/>
      <c r="M69" s="1" t="b">
        <v>0</v>
      </c>
      <c r="N69" s="1"/>
      <c r="O69">
        <v>1</v>
      </c>
      <c r="P69">
        <v>2</v>
      </c>
      <c r="Q69">
        <v>2</v>
      </c>
      <c r="R69" s="1">
        <f t="shared" si="17"/>
        <v>1</v>
      </c>
      <c r="S69" s="1">
        <f t="shared" si="18"/>
        <v>2</v>
      </c>
      <c r="T69" s="1">
        <f t="shared" si="19"/>
        <v>0</v>
      </c>
      <c r="U69" s="1">
        <f t="shared" si="20"/>
        <v>2</v>
      </c>
      <c r="V69" s="1">
        <f t="shared" si="21"/>
        <v>2</v>
      </c>
      <c r="W69" s="1" t="str">
        <f t="shared" si="22"/>
        <v>2B</v>
      </c>
      <c r="X69" t="s">
        <v>39</v>
      </c>
      <c r="Y69" t="s">
        <v>39</v>
      </c>
      <c r="AJ69">
        <f t="shared" si="23"/>
        <v>10</v>
      </c>
      <c r="AK69">
        <f t="shared" si="24"/>
        <v>10</v>
      </c>
      <c r="AL69">
        <f t="shared" si="25"/>
        <v>2</v>
      </c>
      <c r="AM69">
        <f t="shared" si="15"/>
        <v>2</v>
      </c>
      <c r="AN69">
        <f t="shared" si="26"/>
        <v>2</v>
      </c>
      <c r="AO69">
        <f t="shared" si="27"/>
        <v>2</v>
      </c>
      <c r="AP69">
        <f t="shared" si="28"/>
        <v>0</v>
      </c>
      <c r="AQ69">
        <f t="shared" si="16"/>
        <v>0</v>
      </c>
      <c r="AR69">
        <f t="shared" si="29"/>
        <v>0</v>
      </c>
    </row>
    <row r="70" spans="1:44" x14ac:dyDescent="0.25">
      <c r="A70" t="s">
        <v>107</v>
      </c>
      <c r="B70" t="s">
        <v>6</v>
      </c>
      <c r="E70" t="s">
        <v>43</v>
      </c>
      <c r="G70" t="s">
        <v>1</v>
      </c>
      <c r="I70" s="1" t="s">
        <v>6</v>
      </c>
      <c r="J70" s="1"/>
      <c r="K70" s="1"/>
      <c r="L70" s="1" t="s">
        <v>43</v>
      </c>
      <c r="M70" s="1" t="b">
        <v>0</v>
      </c>
      <c r="N70" s="1"/>
      <c r="O70">
        <v>1</v>
      </c>
      <c r="P70">
        <v>2</v>
      </c>
      <c r="Q70">
        <v>2</v>
      </c>
      <c r="R70" s="1">
        <f t="shared" si="17"/>
        <v>1</v>
      </c>
      <c r="S70" s="1">
        <f t="shared" si="18"/>
        <v>2</v>
      </c>
      <c r="T70" s="1">
        <f t="shared" si="19"/>
        <v>0</v>
      </c>
      <c r="U70" s="1">
        <f t="shared" si="20"/>
        <v>2</v>
      </c>
      <c r="V70" s="1">
        <f t="shared" si="21"/>
        <v>3</v>
      </c>
      <c r="W70" s="1" t="str">
        <f t="shared" si="22"/>
        <v>2B</v>
      </c>
      <c r="X70" t="s">
        <v>39</v>
      </c>
      <c r="Y70" t="s">
        <v>39</v>
      </c>
      <c r="AJ70">
        <f t="shared" si="23"/>
        <v>100</v>
      </c>
      <c r="AK70">
        <f t="shared" si="24"/>
        <v>10</v>
      </c>
      <c r="AL70">
        <f t="shared" si="25"/>
        <v>3</v>
      </c>
      <c r="AM70">
        <f t="shared" si="15"/>
        <v>2</v>
      </c>
      <c r="AN70">
        <f t="shared" si="26"/>
        <v>3</v>
      </c>
      <c r="AO70">
        <f t="shared" si="27"/>
        <v>2</v>
      </c>
      <c r="AP70">
        <f t="shared" si="28"/>
        <v>0</v>
      </c>
      <c r="AQ70">
        <f t="shared" si="16"/>
        <v>0</v>
      </c>
      <c r="AR70">
        <f t="shared" si="29"/>
        <v>0</v>
      </c>
    </row>
    <row r="71" spans="1:44" x14ac:dyDescent="0.25">
      <c r="A71" t="s">
        <v>108</v>
      </c>
      <c r="B71" t="s">
        <v>6</v>
      </c>
      <c r="C71" t="s">
        <v>7</v>
      </c>
      <c r="D71" t="s">
        <v>43</v>
      </c>
      <c r="G71" t="s">
        <v>1</v>
      </c>
      <c r="H71" t="s">
        <v>2</v>
      </c>
      <c r="I71" s="1" t="s">
        <v>6</v>
      </c>
      <c r="J71" s="1" t="s">
        <v>7</v>
      </c>
      <c r="K71" s="1" t="s">
        <v>43</v>
      </c>
      <c r="L71" s="1"/>
      <c r="M71" s="1" t="b">
        <v>0</v>
      </c>
      <c r="N71" s="1"/>
      <c r="O71">
        <v>1</v>
      </c>
      <c r="P71">
        <v>2</v>
      </c>
      <c r="Q71">
        <v>6</v>
      </c>
      <c r="R71" s="1">
        <f t="shared" si="17"/>
        <v>1</v>
      </c>
      <c r="S71" s="1">
        <f t="shared" si="18"/>
        <v>2</v>
      </c>
      <c r="T71" s="1">
        <f t="shared" si="19"/>
        <v>0</v>
      </c>
      <c r="U71" s="1">
        <f t="shared" si="20"/>
        <v>2</v>
      </c>
      <c r="V71" s="1">
        <f t="shared" si="21"/>
        <v>4</v>
      </c>
      <c r="W71" s="1" t="str">
        <f t="shared" si="22"/>
        <v>2B</v>
      </c>
      <c r="X71" t="s">
        <v>39</v>
      </c>
      <c r="Y71" t="s">
        <v>39</v>
      </c>
      <c r="AJ71">
        <f t="shared" si="23"/>
        <v>11</v>
      </c>
      <c r="AK71">
        <f t="shared" si="24"/>
        <v>110</v>
      </c>
      <c r="AL71">
        <f t="shared" si="25"/>
        <v>4</v>
      </c>
      <c r="AM71">
        <f t="shared" si="15"/>
        <v>6</v>
      </c>
      <c r="AN71">
        <f t="shared" si="26"/>
        <v>4</v>
      </c>
      <c r="AO71">
        <f t="shared" si="27"/>
        <v>6</v>
      </c>
      <c r="AP71">
        <f t="shared" si="28"/>
        <v>0</v>
      </c>
      <c r="AQ71">
        <f t="shared" si="16"/>
        <v>0</v>
      </c>
      <c r="AR71">
        <f t="shared" si="29"/>
        <v>0</v>
      </c>
    </row>
    <row r="72" spans="1:44" x14ac:dyDescent="0.25">
      <c r="A72" t="s">
        <v>109</v>
      </c>
      <c r="B72" t="s">
        <v>6</v>
      </c>
      <c r="C72" t="s">
        <v>7</v>
      </c>
      <c r="E72" t="s">
        <v>43</v>
      </c>
      <c r="G72" t="s">
        <v>1</v>
      </c>
      <c r="H72" t="s">
        <v>2</v>
      </c>
      <c r="I72" s="1" t="s">
        <v>6</v>
      </c>
      <c r="J72" s="1" t="s">
        <v>7</v>
      </c>
      <c r="K72" s="1"/>
      <c r="L72" s="1" t="s">
        <v>43</v>
      </c>
      <c r="M72" s="1" t="b">
        <v>0</v>
      </c>
      <c r="N72" s="1"/>
      <c r="O72">
        <v>1</v>
      </c>
      <c r="P72">
        <v>2</v>
      </c>
      <c r="Q72">
        <v>6</v>
      </c>
      <c r="R72" s="1">
        <f t="shared" si="17"/>
        <v>1</v>
      </c>
      <c r="S72" s="1">
        <f t="shared" si="18"/>
        <v>2</v>
      </c>
      <c r="T72" s="1">
        <f t="shared" si="19"/>
        <v>0</v>
      </c>
      <c r="U72" s="1">
        <f t="shared" si="20"/>
        <v>2</v>
      </c>
      <c r="V72" s="1">
        <f t="shared" si="21"/>
        <v>5</v>
      </c>
      <c r="W72" s="1" t="str">
        <f t="shared" si="22"/>
        <v>2B</v>
      </c>
      <c r="X72" t="s">
        <v>39</v>
      </c>
      <c r="Y72" t="s">
        <v>39</v>
      </c>
      <c r="AJ72">
        <f t="shared" si="23"/>
        <v>101</v>
      </c>
      <c r="AK72">
        <f t="shared" si="24"/>
        <v>110</v>
      </c>
      <c r="AL72">
        <f t="shared" si="25"/>
        <v>5</v>
      </c>
      <c r="AM72">
        <f t="shared" si="15"/>
        <v>6</v>
      </c>
      <c r="AN72">
        <f t="shared" si="26"/>
        <v>5</v>
      </c>
      <c r="AO72">
        <f t="shared" si="27"/>
        <v>6</v>
      </c>
      <c r="AP72">
        <f t="shared" si="28"/>
        <v>0</v>
      </c>
      <c r="AQ72">
        <f t="shared" si="16"/>
        <v>0</v>
      </c>
      <c r="AR72">
        <f t="shared" si="29"/>
        <v>0</v>
      </c>
    </row>
    <row r="73" spans="1:44" x14ac:dyDescent="0.25">
      <c r="A73" t="s">
        <v>110</v>
      </c>
      <c r="B73" t="s">
        <v>6</v>
      </c>
      <c r="D73" t="s">
        <v>43</v>
      </c>
      <c r="E73" t="s">
        <v>43</v>
      </c>
      <c r="G73" t="s">
        <v>1</v>
      </c>
      <c r="I73" s="1" t="s">
        <v>6</v>
      </c>
      <c r="J73" s="1"/>
      <c r="K73" s="1" t="s">
        <v>43</v>
      </c>
      <c r="L73" s="1" t="s">
        <v>43</v>
      </c>
      <c r="M73" s="1" t="b">
        <v>0</v>
      </c>
      <c r="N73" s="1"/>
      <c r="O73">
        <v>2</v>
      </c>
      <c r="P73">
        <v>2</v>
      </c>
      <c r="Q73">
        <v>2</v>
      </c>
      <c r="R73" s="1">
        <f t="shared" si="17"/>
        <v>2</v>
      </c>
      <c r="S73" s="1">
        <f t="shared" si="18"/>
        <v>2</v>
      </c>
      <c r="T73" s="1">
        <f t="shared" si="19"/>
        <v>0</v>
      </c>
      <c r="U73" s="1">
        <f t="shared" si="20"/>
        <v>2</v>
      </c>
      <c r="V73" s="1">
        <f t="shared" si="21"/>
        <v>6</v>
      </c>
      <c r="W73" s="1" t="str">
        <f t="shared" si="22"/>
        <v>2B</v>
      </c>
      <c r="X73" t="s">
        <v>39</v>
      </c>
      <c r="Y73" t="s">
        <v>39</v>
      </c>
      <c r="AJ73">
        <f t="shared" si="23"/>
        <v>110</v>
      </c>
      <c r="AK73">
        <f t="shared" si="24"/>
        <v>10</v>
      </c>
      <c r="AL73">
        <f t="shared" si="25"/>
        <v>6</v>
      </c>
      <c r="AM73">
        <f t="shared" si="15"/>
        <v>2</v>
      </c>
      <c r="AN73">
        <f t="shared" si="26"/>
        <v>6</v>
      </c>
      <c r="AO73">
        <f t="shared" si="27"/>
        <v>2</v>
      </c>
      <c r="AP73">
        <f t="shared" si="28"/>
        <v>0</v>
      </c>
      <c r="AQ73">
        <f t="shared" si="16"/>
        <v>0</v>
      </c>
      <c r="AR73">
        <f t="shared" si="29"/>
        <v>0</v>
      </c>
    </row>
    <row r="74" spans="1:44" x14ac:dyDescent="0.25">
      <c r="A74" t="s">
        <v>111</v>
      </c>
      <c r="B74" t="s">
        <v>6</v>
      </c>
      <c r="C74" t="s">
        <v>7</v>
      </c>
      <c r="D74" t="s">
        <v>43</v>
      </c>
      <c r="E74" t="s">
        <v>43</v>
      </c>
      <c r="G74" t="s">
        <v>1</v>
      </c>
      <c r="H74" t="s">
        <v>2</v>
      </c>
      <c r="I74" s="1" t="s">
        <v>6</v>
      </c>
      <c r="J74" s="1" t="s">
        <v>7</v>
      </c>
      <c r="K74" s="1" t="s">
        <v>43</v>
      </c>
      <c r="L74" s="1" t="s">
        <v>43</v>
      </c>
      <c r="M74" s="1" t="b">
        <v>0</v>
      </c>
      <c r="N74" s="1"/>
      <c r="O74">
        <v>2</v>
      </c>
      <c r="P74">
        <v>2</v>
      </c>
      <c r="Q74">
        <v>6</v>
      </c>
      <c r="R74" s="1">
        <f t="shared" si="17"/>
        <v>2</v>
      </c>
      <c r="S74" s="1">
        <f t="shared" si="18"/>
        <v>2</v>
      </c>
      <c r="T74" s="1">
        <f t="shared" si="19"/>
        <v>0</v>
      </c>
      <c r="U74" s="1">
        <f t="shared" si="20"/>
        <v>2</v>
      </c>
      <c r="V74" s="1">
        <f t="shared" si="21"/>
        <v>7</v>
      </c>
      <c r="W74" s="1" t="str">
        <f t="shared" si="22"/>
        <v>2B</v>
      </c>
      <c r="X74" t="s">
        <v>39</v>
      </c>
      <c r="Y74" t="s">
        <v>39</v>
      </c>
      <c r="AJ74">
        <f t="shared" si="23"/>
        <v>111</v>
      </c>
      <c r="AK74">
        <f t="shared" si="24"/>
        <v>110</v>
      </c>
      <c r="AL74">
        <f t="shared" si="25"/>
        <v>7</v>
      </c>
      <c r="AM74">
        <f t="shared" si="15"/>
        <v>6</v>
      </c>
      <c r="AN74">
        <f t="shared" si="26"/>
        <v>7</v>
      </c>
      <c r="AO74">
        <f t="shared" si="27"/>
        <v>6</v>
      </c>
      <c r="AP74">
        <f t="shared" si="28"/>
        <v>0</v>
      </c>
      <c r="AQ74">
        <f t="shared" si="16"/>
        <v>0</v>
      </c>
      <c r="AR74">
        <f t="shared" si="29"/>
        <v>0</v>
      </c>
    </row>
    <row r="75" spans="1:44" x14ac:dyDescent="0.25">
      <c r="A75" t="s">
        <v>112</v>
      </c>
      <c r="B75" t="s">
        <v>6</v>
      </c>
      <c r="C75" t="s">
        <v>43</v>
      </c>
      <c r="G75" t="s">
        <v>1</v>
      </c>
      <c r="I75" s="1" t="s">
        <v>6</v>
      </c>
      <c r="J75" s="1" t="s">
        <v>43</v>
      </c>
      <c r="K75" s="1"/>
      <c r="L75" s="1"/>
      <c r="M75" s="1" t="b">
        <v>0</v>
      </c>
      <c r="N75" s="1"/>
      <c r="O75">
        <v>1</v>
      </c>
      <c r="P75">
        <v>0</v>
      </c>
      <c r="Q75">
        <v>2</v>
      </c>
      <c r="R75" s="1">
        <f t="shared" si="17"/>
        <v>1</v>
      </c>
      <c r="S75" s="1">
        <f t="shared" si="18"/>
        <v>0</v>
      </c>
      <c r="T75" s="1">
        <f t="shared" si="19"/>
        <v>0</v>
      </c>
      <c r="U75" s="1">
        <f t="shared" si="20"/>
        <v>0</v>
      </c>
      <c r="V75" s="1">
        <f t="shared" si="21"/>
        <v>1</v>
      </c>
      <c r="W75" s="1" t="str">
        <f t="shared" si="22"/>
        <v>2BWH</v>
      </c>
      <c r="X75" t="s">
        <v>39</v>
      </c>
      <c r="Y75" t="s">
        <v>39</v>
      </c>
      <c r="AJ75">
        <f t="shared" si="23"/>
        <v>1</v>
      </c>
      <c r="AK75">
        <f t="shared" si="24"/>
        <v>10</v>
      </c>
      <c r="AL75">
        <f t="shared" si="25"/>
        <v>1</v>
      </c>
      <c r="AM75">
        <f t="shared" si="15"/>
        <v>2</v>
      </c>
      <c r="AN75">
        <f t="shared" si="26"/>
        <v>1</v>
      </c>
      <c r="AO75">
        <f t="shared" si="27"/>
        <v>2</v>
      </c>
      <c r="AP75">
        <f t="shared" si="28"/>
        <v>0</v>
      </c>
      <c r="AQ75">
        <f t="shared" si="16"/>
        <v>0</v>
      </c>
      <c r="AR75">
        <f t="shared" si="29"/>
        <v>0</v>
      </c>
    </row>
    <row r="76" spans="1:44" x14ac:dyDescent="0.25">
      <c r="A76" t="s">
        <v>113</v>
      </c>
      <c r="B76" t="s">
        <v>6</v>
      </c>
      <c r="C76" t="s">
        <v>43</v>
      </c>
      <c r="D76" t="s">
        <v>43</v>
      </c>
      <c r="G76" t="s">
        <v>1</v>
      </c>
      <c r="I76" s="1" t="s">
        <v>6</v>
      </c>
      <c r="J76" s="1" t="s">
        <v>43</v>
      </c>
      <c r="K76" s="1" t="s">
        <v>43</v>
      </c>
      <c r="L76" s="1"/>
      <c r="M76" s="1" t="b">
        <v>0</v>
      </c>
      <c r="N76" s="1"/>
      <c r="O76">
        <v>2</v>
      </c>
      <c r="P76">
        <v>0</v>
      </c>
      <c r="Q76">
        <v>2</v>
      </c>
      <c r="R76" s="1">
        <f t="shared" si="17"/>
        <v>2</v>
      </c>
      <c r="S76" s="1">
        <f t="shared" si="18"/>
        <v>0</v>
      </c>
      <c r="T76" s="1">
        <f t="shared" si="19"/>
        <v>0</v>
      </c>
      <c r="U76" s="1">
        <f t="shared" si="20"/>
        <v>0</v>
      </c>
      <c r="V76" s="1">
        <f t="shared" si="21"/>
        <v>4</v>
      </c>
      <c r="W76" s="1" t="str">
        <f t="shared" si="22"/>
        <v>2BWH</v>
      </c>
      <c r="X76" t="s">
        <v>39</v>
      </c>
      <c r="Y76" t="s">
        <v>39</v>
      </c>
      <c r="AJ76">
        <f t="shared" si="23"/>
        <v>11</v>
      </c>
      <c r="AK76">
        <f t="shared" si="24"/>
        <v>10</v>
      </c>
      <c r="AL76">
        <f t="shared" si="25"/>
        <v>4</v>
      </c>
      <c r="AM76">
        <f t="shared" si="15"/>
        <v>2</v>
      </c>
      <c r="AN76">
        <f t="shared" si="26"/>
        <v>4</v>
      </c>
      <c r="AO76">
        <f t="shared" si="27"/>
        <v>2</v>
      </c>
      <c r="AP76">
        <f t="shared" si="28"/>
        <v>0</v>
      </c>
      <c r="AQ76">
        <f t="shared" si="16"/>
        <v>0</v>
      </c>
      <c r="AR76">
        <f t="shared" si="29"/>
        <v>0</v>
      </c>
    </row>
    <row r="77" spans="1:44" x14ac:dyDescent="0.25">
      <c r="A77" t="s">
        <v>114</v>
      </c>
      <c r="B77" t="s">
        <v>6</v>
      </c>
      <c r="C77" t="s">
        <v>43</v>
      </c>
      <c r="E77" t="s">
        <v>43</v>
      </c>
      <c r="G77" t="s">
        <v>1</v>
      </c>
      <c r="I77" s="1" t="s">
        <v>6</v>
      </c>
      <c r="J77" s="1" t="s">
        <v>43</v>
      </c>
      <c r="K77" s="1"/>
      <c r="L77" s="1" t="s">
        <v>43</v>
      </c>
      <c r="M77" s="1" t="b">
        <v>0</v>
      </c>
      <c r="N77" s="1"/>
      <c r="O77">
        <v>2</v>
      </c>
      <c r="P77">
        <v>0</v>
      </c>
      <c r="Q77">
        <v>2</v>
      </c>
      <c r="R77" s="1">
        <f t="shared" si="17"/>
        <v>2</v>
      </c>
      <c r="S77" s="1">
        <f t="shared" si="18"/>
        <v>0</v>
      </c>
      <c r="T77" s="1">
        <f t="shared" si="19"/>
        <v>0</v>
      </c>
      <c r="U77" s="1">
        <f t="shared" si="20"/>
        <v>0</v>
      </c>
      <c r="V77" s="1">
        <f t="shared" si="21"/>
        <v>5</v>
      </c>
      <c r="W77" s="1" t="str">
        <f t="shared" si="22"/>
        <v>2BWH</v>
      </c>
      <c r="X77" t="s">
        <v>39</v>
      </c>
      <c r="Y77" t="s">
        <v>39</v>
      </c>
      <c r="AJ77">
        <f t="shared" si="23"/>
        <v>101</v>
      </c>
      <c r="AK77">
        <f t="shared" si="24"/>
        <v>10</v>
      </c>
      <c r="AL77">
        <f t="shared" si="25"/>
        <v>5</v>
      </c>
      <c r="AM77">
        <f t="shared" si="15"/>
        <v>2</v>
      </c>
      <c r="AN77">
        <f t="shared" si="26"/>
        <v>5</v>
      </c>
      <c r="AO77">
        <f t="shared" si="27"/>
        <v>2</v>
      </c>
      <c r="AP77">
        <f t="shared" si="28"/>
        <v>0</v>
      </c>
      <c r="AQ77">
        <f t="shared" si="16"/>
        <v>0</v>
      </c>
      <c r="AR77">
        <f t="shared" si="29"/>
        <v>0</v>
      </c>
    </row>
    <row r="78" spans="1:44" x14ac:dyDescent="0.25">
      <c r="A78" t="s">
        <v>115</v>
      </c>
      <c r="B78" t="s">
        <v>6</v>
      </c>
      <c r="C78" t="s">
        <v>43</v>
      </c>
      <c r="D78" t="s">
        <v>43</v>
      </c>
      <c r="E78" t="s">
        <v>43</v>
      </c>
      <c r="G78" t="s">
        <v>1</v>
      </c>
      <c r="I78" s="1" t="s">
        <v>6</v>
      </c>
      <c r="J78" s="1" t="s">
        <v>43</v>
      </c>
      <c r="K78" s="1" t="s">
        <v>43</v>
      </c>
      <c r="L78" s="1" t="s">
        <v>43</v>
      </c>
      <c r="M78" s="1" t="b">
        <v>0</v>
      </c>
      <c r="N78" s="1"/>
      <c r="O78">
        <v>3</v>
      </c>
      <c r="P78">
        <v>0</v>
      </c>
      <c r="Q78">
        <v>2</v>
      </c>
      <c r="R78" s="1">
        <f t="shared" si="17"/>
        <v>3</v>
      </c>
      <c r="S78" s="1">
        <f t="shared" si="18"/>
        <v>0</v>
      </c>
      <c r="T78" s="1">
        <f t="shared" si="19"/>
        <v>0</v>
      </c>
      <c r="U78" s="1">
        <f t="shared" si="20"/>
        <v>0</v>
      </c>
      <c r="V78" s="1">
        <f t="shared" si="21"/>
        <v>7</v>
      </c>
      <c r="W78" s="1" t="str">
        <f t="shared" si="22"/>
        <v>2BWH</v>
      </c>
      <c r="X78" t="s">
        <v>39</v>
      </c>
      <c r="Y78" t="s">
        <v>39</v>
      </c>
      <c r="AJ78">
        <f t="shared" si="23"/>
        <v>111</v>
      </c>
      <c r="AK78">
        <f t="shared" si="24"/>
        <v>10</v>
      </c>
      <c r="AL78">
        <f t="shared" si="25"/>
        <v>7</v>
      </c>
      <c r="AM78">
        <f t="shared" si="15"/>
        <v>2</v>
      </c>
      <c r="AN78">
        <f t="shared" si="26"/>
        <v>7</v>
      </c>
      <c r="AO78">
        <f t="shared" si="27"/>
        <v>2</v>
      </c>
      <c r="AP78">
        <f t="shared" si="28"/>
        <v>0</v>
      </c>
      <c r="AQ78">
        <f t="shared" si="16"/>
        <v>0</v>
      </c>
      <c r="AR78">
        <f t="shared" si="29"/>
        <v>0</v>
      </c>
    </row>
    <row r="79" spans="1:44" x14ac:dyDescent="0.25">
      <c r="A79" t="s">
        <v>116</v>
      </c>
      <c r="B79" t="s">
        <v>6</v>
      </c>
      <c r="C79" t="s">
        <v>43</v>
      </c>
      <c r="G79" t="s">
        <v>1</v>
      </c>
      <c r="I79" s="1" t="s">
        <v>6</v>
      </c>
      <c r="J79" s="1" t="s">
        <v>43</v>
      </c>
      <c r="K79" s="1"/>
      <c r="L79" s="1"/>
      <c r="M79" s="1" t="b">
        <v>0</v>
      </c>
      <c r="N79" s="1"/>
      <c r="O79">
        <v>1</v>
      </c>
      <c r="P79">
        <v>1</v>
      </c>
      <c r="Q79">
        <v>2</v>
      </c>
      <c r="R79" s="1">
        <f t="shared" si="17"/>
        <v>1</v>
      </c>
      <c r="S79" s="1">
        <f t="shared" si="18"/>
        <v>1</v>
      </c>
      <c r="T79" s="1">
        <f t="shared" si="19"/>
        <v>0</v>
      </c>
      <c r="U79" s="1">
        <f t="shared" si="20"/>
        <v>1</v>
      </c>
      <c r="V79" s="1">
        <f t="shared" si="21"/>
        <v>1</v>
      </c>
      <c r="W79" s="1" t="str">
        <f t="shared" si="22"/>
        <v>2BWH</v>
      </c>
      <c r="X79" t="s">
        <v>39</v>
      </c>
      <c r="Y79" t="s">
        <v>39</v>
      </c>
      <c r="AJ79">
        <f t="shared" si="23"/>
        <v>1</v>
      </c>
      <c r="AK79">
        <f t="shared" si="24"/>
        <v>10</v>
      </c>
      <c r="AL79">
        <f t="shared" si="25"/>
        <v>1</v>
      </c>
      <c r="AM79">
        <f t="shared" si="15"/>
        <v>2</v>
      </c>
      <c r="AN79">
        <f t="shared" si="26"/>
        <v>1</v>
      </c>
      <c r="AO79">
        <f t="shared" si="27"/>
        <v>2</v>
      </c>
      <c r="AP79">
        <f t="shared" si="28"/>
        <v>0</v>
      </c>
      <c r="AQ79">
        <f t="shared" si="16"/>
        <v>0</v>
      </c>
      <c r="AR79">
        <f t="shared" si="29"/>
        <v>0</v>
      </c>
    </row>
    <row r="80" spans="1:44" x14ac:dyDescent="0.25">
      <c r="A80" t="s">
        <v>117</v>
      </c>
      <c r="B80" t="s">
        <v>6</v>
      </c>
      <c r="C80" t="s">
        <v>43</v>
      </c>
      <c r="D80" t="s">
        <v>43</v>
      </c>
      <c r="G80" t="s">
        <v>1</v>
      </c>
      <c r="I80" s="1" t="s">
        <v>6</v>
      </c>
      <c r="J80" s="1" t="s">
        <v>43</v>
      </c>
      <c r="K80" s="1" t="s">
        <v>43</v>
      </c>
      <c r="L80" s="1"/>
      <c r="M80" s="1" t="b">
        <v>0</v>
      </c>
      <c r="N80" s="1"/>
      <c r="O80">
        <v>2</v>
      </c>
      <c r="P80">
        <v>1</v>
      </c>
      <c r="Q80">
        <v>2</v>
      </c>
      <c r="R80" s="1">
        <f t="shared" si="17"/>
        <v>2</v>
      </c>
      <c r="S80" s="1">
        <f t="shared" si="18"/>
        <v>1</v>
      </c>
      <c r="T80" s="1">
        <f t="shared" si="19"/>
        <v>0</v>
      </c>
      <c r="U80" s="1">
        <f t="shared" si="20"/>
        <v>1</v>
      </c>
      <c r="V80" s="1">
        <f t="shared" si="21"/>
        <v>4</v>
      </c>
      <c r="W80" s="1" t="str">
        <f t="shared" si="22"/>
        <v>2BWH</v>
      </c>
      <c r="X80" t="s">
        <v>39</v>
      </c>
      <c r="Y80" t="s">
        <v>39</v>
      </c>
      <c r="AJ80">
        <f t="shared" si="23"/>
        <v>11</v>
      </c>
      <c r="AK80">
        <f t="shared" si="24"/>
        <v>10</v>
      </c>
      <c r="AL80">
        <f t="shared" si="25"/>
        <v>4</v>
      </c>
      <c r="AM80">
        <f t="shared" si="15"/>
        <v>2</v>
      </c>
      <c r="AN80">
        <f t="shared" si="26"/>
        <v>4</v>
      </c>
      <c r="AO80">
        <f t="shared" si="27"/>
        <v>2</v>
      </c>
      <c r="AP80">
        <f t="shared" si="28"/>
        <v>0</v>
      </c>
      <c r="AQ80">
        <f t="shared" si="16"/>
        <v>0</v>
      </c>
      <c r="AR80">
        <f t="shared" si="29"/>
        <v>0</v>
      </c>
    </row>
    <row r="81" spans="1:44" x14ac:dyDescent="0.25">
      <c r="A81" t="s">
        <v>118</v>
      </c>
      <c r="B81" t="s">
        <v>6</v>
      </c>
      <c r="C81" t="s">
        <v>43</v>
      </c>
      <c r="E81" t="s">
        <v>43</v>
      </c>
      <c r="G81" t="s">
        <v>1</v>
      </c>
      <c r="I81" s="1" t="s">
        <v>6</v>
      </c>
      <c r="J81" s="1" t="s">
        <v>43</v>
      </c>
      <c r="K81" s="1"/>
      <c r="L81" s="1" t="s">
        <v>43</v>
      </c>
      <c r="M81" s="1" t="b">
        <v>0</v>
      </c>
      <c r="N81" s="1"/>
      <c r="O81">
        <v>2</v>
      </c>
      <c r="P81">
        <v>1</v>
      </c>
      <c r="Q81">
        <v>2</v>
      </c>
      <c r="R81" s="1">
        <f t="shared" si="17"/>
        <v>2</v>
      </c>
      <c r="S81" s="1">
        <f t="shared" si="18"/>
        <v>1</v>
      </c>
      <c r="T81" s="1">
        <f t="shared" si="19"/>
        <v>0</v>
      </c>
      <c r="U81" s="1">
        <f t="shared" si="20"/>
        <v>1</v>
      </c>
      <c r="V81" s="1">
        <f t="shared" si="21"/>
        <v>5</v>
      </c>
      <c r="W81" s="1" t="str">
        <f t="shared" si="22"/>
        <v>2BWH</v>
      </c>
      <c r="X81" t="s">
        <v>39</v>
      </c>
      <c r="Y81" t="s">
        <v>39</v>
      </c>
      <c r="AJ81">
        <f t="shared" si="23"/>
        <v>101</v>
      </c>
      <c r="AK81">
        <f t="shared" si="24"/>
        <v>10</v>
      </c>
      <c r="AL81">
        <f t="shared" si="25"/>
        <v>5</v>
      </c>
      <c r="AM81">
        <f t="shared" si="15"/>
        <v>2</v>
      </c>
      <c r="AN81">
        <f t="shared" si="26"/>
        <v>5</v>
      </c>
      <c r="AO81">
        <f t="shared" si="27"/>
        <v>2</v>
      </c>
      <c r="AP81">
        <f t="shared" si="28"/>
        <v>0</v>
      </c>
      <c r="AQ81">
        <f t="shared" si="16"/>
        <v>0</v>
      </c>
      <c r="AR81">
        <f t="shared" si="29"/>
        <v>0</v>
      </c>
    </row>
    <row r="82" spans="1:44" x14ac:dyDescent="0.25">
      <c r="A82" t="s">
        <v>119</v>
      </c>
      <c r="B82" t="s">
        <v>6</v>
      </c>
      <c r="C82" t="s">
        <v>43</v>
      </c>
      <c r="D82" t="s">
        <v>43</v>
      </c>
      <c r="E82" t="s">
        <v>43</v>
      </c>
      <c r="G82" t="s">
        <v>1</v>
      </c>
      <c r="I82" s="1" t="s">
        <v>6</v>
      </c>
      <c r="J82" s="1" t="s">
        <v>43</v>
      </c>
      <c r="K82" s="1" t="s">
        <v>43</v>
      </c>
      <c r="L82" s="1" t="s">
        <v>43</v>
      </c>
      <c r="M82" s="1" t="b">
        <v>0</v>
      </c>
      <c r="N82" s="1"/>
      <c r="O82">
        <v>3</v>
      </c>
      <c r="P82">
        <v>1</v>
      </c>
      <c r="Q82">
        <v>2</v>
      </c>
      <c r="R82" s="1">
        <f t="shared" si="17"/>
        <v>3</v>
      </c>
      <c r="S82" s="1">
        <f t="shared" si="18"/>
        <v>1</v>
      </c>
      <c r="T82" s="1">
        <f t="shared" si="19"/>
        <v>0</v>
      </c>
      <c r="U82" s="1">
        <f t="shared" si="20"/>
        <v>1</v>
      </c>
      <c r="V82" s="1">
        <f t="shared" si="21"/>
        <v>7</v>
      </c>
      <c r="W82" s="1" t="str">
        <f t="shared" si="22"/>
        <v>2BWH</v>
      </c>
      <c r="X82" t="s">
        <v>39</v>
      </c>
      <c r="Y82" t="s">
        <v>39</v>
      </c>
      <c r="AJ82">
        <f t="shared" si="23"/>
        <v>111</v>
      </c>
      <c r="AK82">
        <f t="shared" si="24"/>
        <v>10</v>
      </c>
      <c r="AL82">
        <f t="shared" si="25"/>
        <v>7</v>
      </c>
      <c r="AM82">
        <f t="shared" si="15"/>
        <v>2</v>
      </c>
      <c r="AN82">
        <f t="shared" si="26"/>
        <v>7</v>
      </c>
      <c r="AO82">
        <f t="shared" si="27"/>
        <v>2</v>
      </c>
      <c r="AP82">
        <f t="shared" si="28"/>
        <v>0</v>
      </c>
      <c r="AQ82">
        <f t="shared" si="16"/>
        <v>0</v>
      </c>
      <c r="AR82">
        <f t="shared" si="29"/>
        <v>0</v>
      </c>
    </row>
    <row r="83" spans="1:44" x14ac:dyDescent="0.25">
      <c r="A83" t="s">
        <v>120</v>
      </c>
      <c r="B83" t="s">
        <v>6</v>
      </c>
      <c r="C83" t="s">
        <v>43</v>
      </c>
      <c r="G83" t="s">
        <v>1</v>
      </c>
      <c r="I83" s="1" t="s">
        <v>6</v>
      </c>
      <c r="J83" s="1" t="s">
        <v>43</v>
      </c>
      <c r="K83" s="1"/>
      <c r="L83" s="1"/>
      <c r="M83" s="1" t="b">
        <v>0</v>
      </c>
      <c r="N83" s="1"/>
      <c r="O83">
        <v>1</v>
      </c>
      <c r="P83">
        <v>2</v>
      </c>
      <c r="Q83">
        <v>2</v>
      </c>
      <c r="R83" s="1">
        <f t="shared" si="17"/>
        <v>1</v>
      </c>
      <c r="S83" s="1">
        <f t="shared" si="18"/>
        <v>2</v>
      </c>
      <c r="T83" s="1">
        <f t="shared" si="19"/>
        <v>0</v>
      </c>
      <c r="U83" s="1">
        <f t="shared" si="20"/>
        <v>2</v>
      </c>
      <c r="V83" s="1">
        <f t="shared" si="21"/>
        <v>1</v>
      </c>
      <c r="W83" s="1" t="str">
        <f t="shared" si="22"/>
        <v>2BWH</v>
      </c>
      <c r="X83" t="s">
        <v>39</v>
      </c>
      <c r="Y83" t="s">
        <v>39</v>
      </c>
      <c r="AJ83">
        <f t="shared" si="23"/>
        <v>1</v>
      </c>
      <c r="AK83">
        <f t="shared" si="24"/>
        <v>10</v>
      </c>
      <c r="AL83">
        <f t="shared" si="25"/>
        <v>1</v>
      </c>
      <c r="AM83">
        <f t="shared" si="15"/>
        <v>2</v>
      </c>
      <c r="AN83">
        <f t="shared" si="26"/>
        <v>1</v>
      </c>
      <c r="AO83">
        <f t="shared" si="27"/>
        <v>2</v>
      </c>
      <c r="AP83">
        <f t="shared" si="28"/>
        <v>0</v>
      </c>
      <c r="AQ83">
        <f t="shared" si="16"/>
        <v>0</v>
      </c>
      <c r="AR83">
        <f t="shared" si="29"/>
        <v>0</v>
      </c>
    </row>
    <row r="84" spans="1:44" x14ac:dyDescent="0.25">
      <c r="A84" t="s">
        <v>121</v>
      </c>
      <c r="B84" t="s">
        <v>6</v>
      </c>
      <c r="C84" t="s">
        <v>43</v>
      </c>
      <c r="D84" t="s">
        <v>43</v>
      </c>
      <c r="G84" t="s">
        <v>1</v>
      </c>
      <c r="I84" s="1" t="s">
        <v>6</v>
      </c>
      <c r="J84" s="1" t="s">
        <v>43</v>
      </c>
      <c r="K84" s="1" t="s">
        <v>43</v>
      </c>
      <c r="L84" s="1"/>
      <c r="M84" s="1" t="b">
        <v>0</v>
      </c>
      <c r="N84" s="1"/>
      <c r="O84">
        <v>2</v>
      </c>
      <c r="P84">
        <v>2</v>
      </c>
      <c r="Q84">
        <v>2</v>
      </c>
      <c r="R84" s="1">
        <f t="shared" si="17"/>
        <v>2</v>
      </c>
      <c r="S84" s="1">
        <f t="shared" si="18"/>
        <v>2</v>
      </c>
      <c r="T84" s="1">
        <f t="shared" si="19"/>
        <v>0</v>
      </c>
      <c r="U84" s="1">
        <f t="shared" si="20"/>
        <v>2</v>
      </c>
      <c r="V84" s="1">
        <f t="shared" si="21"/>
        <v>4</v>
      </c>
      <c r="W84" s="1" t="str">
        <f t="shared" si="22"/>
        <v>2BWH</v>
      </c>
      <c r="X84" t="s">
        <v>39</v>
      </c>
      <c r="Y84" t="s">
        <v>39</v>
      </c>
      <c r="AJ84">
        <f t="shared" si="23"/>
        <v>11</v>
      </c>
      <c r="AK84">
        <f t="shared" si="24"/>
        <v>10</v>
      </c>
      <c r="AL84">
        <f t="shared" si="25"/>
        <v>4</v>
      </c>
      <c r="AM84">
        <f t="shared" si="15"/>
        <v>2</v>
      </c>
      <c r="AN84">
        <f t="shared" si="26"/>
        <v>4</v>
      </c>
      <c r="AO84">
        <f t="shared" si="27"/>
        <v>2</v>
      </c>
      <c r="AP84">
        <f t="shared" si="28"/>
        <v>0</v>
      </c>
      <c r="AQ84">
        <f t="shared" si="16"/>
        <v>0</v>
      </c>
      <c r="AR84">
        <f t="shared" si="29"/>
        <v>0</v>
      </c>
    </row>
    <row r="85" spans="1:44" x14ac:dyDescent="0.25">
      <c r="A85" t="s">
        <v>122</v>
      </c>
      <c r="B85" t="s">
        <v>6</v>
      </c>
      <c r="C85" t="s">
        <v>43</v>
      </c>
      <c r="E85" t="s">
        <v>43</v>
      </c>
      <c r="G85" t="s">
        <v>1</v>
      </c>
      <c r="I85" s="1" t="s">
        <v>6</v>
      </c>
      <c r="J85" s="1" t="s">
        <v>43</v>
      </c>
      <c r="K85" s="1"/>
      <c r="L85" s="1" t="s">
        <v>43</v>
      </c>
      <c r="M85" s="1" t="b">
        <v>0</v>
      </c>
      <c r="N85" s="1"/>
      <c r="O85">
        <v>2</v>
      </c>
      <c r="P85">
        <v>2</v>
      </c>
      <c r="Q85">
        <v>2</v>
      </c>
      <c r="R85" s="1">
        <f t="shared" si="17"/>
        <v>2</v>
      </c>
      <c r="S85" s="1">
        <f t="shared" si="18"/>
        <v>2</v>
      </c>
      <c r="T85" s="1">
        <f t="shared" si="19"/>
        <v>0</v>
      </c>
      <c r="U85" s="1">
        <f t="shared" si="20"/>
        <v>2</v>
      </c>
      <c r="V85" s="1">
        <f t="shared" si="21"/>
        <v>5</v>
      </c>
      <c r="W85" s="1" t="str">
        <f t="shared" si="22"/>
        <v>2BWH</v>
      </c>
      <c r="X85" t="s">
        <v>39</v>
      </c>
      <c r="Y85" t="s">
        <v>39</v>
      </c>
      <c r="AJ85">
        <f t="shared" si="23"/>
        <v>101</v>
      </c>
      <c r="AK85">
        <f t="shared" si="24"/>
        <v>10</v>
      </c>
      <c r="AL85">
        <f t="shared" si="25"/>
        <v>5</v>
      </c>
      <c r="AM85">
        <f t="shared" si="15"/>
        <v>2</v>
      </c>
      <c r="AN85">
        <f t="shared" si="26"/>
        <v>5</v>
      </c>
      <c r="AO85">
        <f t="shared" si="27"/>
        <v>2</v>
      </c>
      <c r="AP85">
        <f t="shared" si="28"/>
        <v>0</v>
      </c>
      <c r="AQ85">
        <f t="shared" si="16"/>
        <v>0</v>
      </c>
      <c r="AR85">
        <f t="shared" si="29"/>
        <v>0</v>
      </c>
    </row>
    <row r="86" spans="1:44" x14ac:dyDescent="0.25">
      <c r="A86" t="s">
        <v>123</v>
      </c>
      <c r="B86" t="s">
        <v>6</v>
      </c>
      <c r="C86" t="s">
        <v>43</v>
      </c>
      <c r="D86" t="s">
        <v>43</v>
      </c>
      <c r="E86" t="s">
        <v>43</v>
      </c>
      <c r="G86" t="s">
        <v>1</v>
      </c>
      <c r="I86" s="1" t="s">
        <v>6</v>
      </c>
      <c r="J86" s="1" t="s">
        <v>43</v>
      </c>
      <c r="K86" s="1" t="s">
        <v>43</v>
      </c>
      <c r="L86" s="1" t="s">
        <v>43</v>
      </c>
      <c r="M86" s="1" t="b">
        <v>0</v>
      </c>
      <c r="N86" s="1"/>
      <c r="O86">
        <v>3</v>
      </c>
      <c r="P86">
        <v>2</v>
      </c>
      <c r="Q86">
        <v>2</v>
      </c>
      <c r="R86" s="1">
        <f t="shared" si="17"/>
        <v>3</v>
      </c>
      <c r="S86" s="1">
        <f t="shared" si="18"/>
        <v>2</v>
      </c>
      <c r="T86" s="1">
        <f t="shared" si="19"/>
        <v>0</v>
      </c>
      <c r="U86" s="1">
        <f t="shared" si="20"/>
        <v>2</v>
      </c>
      <c r="V86" s="1">
        <f t="shared" si="21"/>
        <v>7</v>
      </c>
      <c r="W86" s="1" t="str">
        <f t="shared" si="22"/>
        <v>2BWH</v>
      </c>
      <c r="X86" t="s">
        <v>39</v>
      </c>
      <c r="Y86" t="s">
        <v>39</v>
      </c>
      <c r="AJ86">
        <f t="shared" si="23"/>
        <v>111</v>
      </c>
      <c r="AK86">
        <f t="shared" si="24"/>
        <v>10</v>
      </c>
      <c r="AL86">
        <f t="shared" si="25"/>
        <v>7</v>
      </c>
      <c r="AM86">
        <f t="shared" si="15"/>
        <v>2</v>
      </c>
      <c r="AN86">
        <f t="shared" si="26"/>
        <v>7</v>
      </c>
      <c r="AO86">
        <f t="shared" si="27"/>
        <v>2</v>
      </c>
      <c r="AP86">
        <f t="shared" si="28"/>
        <v>0</v>
      </c>
      <c r="AQ86">
        <f t="shared" si="16"/>
        <v>0</v>
      </c>
      <c r="AR86">
        <f t="shared" si="29"/>
        <v>0</v>
      </c>
    </row>
    <row r="87" spans="1:44" x14ac:dyDescent="0.25">
      <c r="A87" t="s">
        <v>124</v>
      </c>
      <c r="B87" t="s">
        <v>7</v>
      </c>
      <c r="H87" t="s">
        <v>1</v>
      </c>
      <c r="I87" s="1" t="s">
        <v>7</v>
      </c>
      <c r="J87" s="1"/>
      <c r="K87" s="1"/>
      <c r="L87" s="1"/>
      <c r="M87" s="1" t="b">
        <v>0</v>
      </c>
      <c r="N87" s="1"/>
      <c r="O87">
        <v>0</v>
      </c>
      <c r="P87">
        <v>0</v>
      </c>
      <c r="Q87">
        <v>3</v>
      </c>
      <c r="R87" s="1">
        <f t="shared" si="17"/>
        <v>0</v>
      </c>
      <c r="S87" s="1">
        <f t="shared" si="18"/>
        <v>0</v>
      </c>
      <c r="T87" s="1">
        <f t="shared" si="19"/>
        <v>0</v>
      </c>
      <c r="U87" s="1">
        <f t="shared" si="20"/>
        <v>0</v>
      </c>
      <c r="V87" s="1">
        <f t="shared" si="21"/>
        <v>0</v>
      </c>
      <c r="W87" s="1" t="str">
        <f t="shared" si="22"/>
        <v>3B</v>
      </c>
      <c r="X87" t="s">
        <v>39</v>
      </c>
      <c r="Y87" t="s">
        <v>39</v>
      </c>
      <c r="AJ87">
        <f t="shared" si="23"/>
        <v>0</v>
      </c>
      <c r="AK87">
        <f t="shared" si="24"/>
        <v>100</v>
      </c>
      <c r="AL87">
        <f t="shared" si="25"/>
        <v>0</v>
      </c>
      <c r="AM87">
        <f t="shared" si="15"/>
        <v>3</v>
      </c>
      <c r="AN87">
        <f t="shared" si="26"/>
        <v>0</v>
      </c>
      <c r="AO87">
        <f t="shared" si="27"/>
        <v>3</v>
      </c>
      <c r="AP87">
        <f t="shared" si="28"/>
        <v>0</v>
      </c>
      <c r="AQ87">
        <f t="shared" si="16"/>
        <v>0</v>
      </c>
      <c r="AR87">
        <f t="shared" si="29"/>
        <v>0</v>
      </c>
    </row>
    <row r="88" spans="1:44" x14ac:dyDescent="0.25">
      <c r="A88" t="s">
        <v>125</v>
      </c>
      <c r="B88" t="s">
        <v>7</v>
      </c>
      <c r="C88" t="s">
        <v>43</v>
      </c>
      <c r="H88" t="s">
        <v>1</v>
      </c>
      <c r="I88" s="1" t="s">
        <v>7</v>
      </c>
      <c r="J88" s="1" t="s">
        <v>43</v>
      </c>
      <c r="K88" s="1"/>
      <c r="L88" s="1"/>
      <c r="M88" s="1" t="b">
        <v>0</v>
      </c>
      <c r="N88" s="1"/>
      <c r="O88">
        <v>1</v>
      </c>
      <c r="P88">
        <v>0</v>
      </c>
      <c r="Q88">
        <v>3</v>
      </c>
      <c r="R88" s="1">
        <f t="shared" si="17"/>
        <v>1</v>
      </c>
      <c r="S88" s="1">
        <f t="shared" si="18"/>
        <v>0</v>
      </c>
      <c r="T88" s="1">
        <f t="shared" si="19"/>
        <v>0</v>
      </c>
      <c r="U88" s="1">
        <f t="shared" si="20"/>
        <v>0</v>
      </c>
      <c r="V88" s="1">
        <f t="shared" si="21"/>
        <v>1</v>
      </c>
      <c r="W88" s="1" t="str">
        <f t="shared" si="22"/>
        <v>3B</v>
      </c>
      <c r="X88" t="s">
        <v>39</v>
      </c>
      <c r="Y88" t="s">
        <v>39</v>
      </c>
      <c r="AJ88">
        <f t="shared" si="23"/>
        <v>1</v>
      </c>
      <c r="AK88">
        <f t="shared" si="24"/>
        <v>100</v>
      </c>
      <c r="AL88">
        <f t="shared" si="25"/>
        <v>1</v>
      </c>
      <c r="AM88">
        <f t="shared" si="15"/>
        <v>3</v>
      </c>
      <c r="AN88">
        <f t="shared" si="26"/>
        <v>1</v>
      </c>
      <c r="AO88">
        <f t="shared" si="27"/>
        <v>3</v>
      </c>
      <c r="AP88">
        <f t="shared" si="28"/>
        <v>0</v>
      </c>
      <c r="AQ88">
        <f t="shared" si="16"/>
        <v>0</v>
      </c>
      <c r="AR88">
        <f t="shared" si="29"/>
        <v>0</v>
      </c>
    </row>
    <row r="89" spans="1:44" x14ac:dyDescent="0.25">
      <c r="A89" t="s">
        <v>126</v>
      </c>
      <c r="B89" t="s">
        <v>7</v>
      </c>
      <c r="D89" t="s">
        <v>43</v>
      </c>
      <c r="H89" t="s">
        <v>1</v>
      </c>
      <c r="I89" s="1" t="s">
        <v>7</v>
      </c>
      <c r="J89" s="1"/>
      <c r="K89" s="1" t="s">
        <v>43</v>
      </c>
      <c r="L89" s="1"/>
      <c r="M89" s="1" t="b">
        <v>0</v>
      </c>
      <c r="N89" s="1"/>
      <c r="O89">
        <v>1</v>
      </c>
      <c r="P89">
        <v>0</v>
      </c>
      <c r="Q89">
        <v>3</v>
      </c>
      <c r="R89" s="1">
        <f t="shared" si="17"/>
        <v>1</v>
      </c>
      <c r="S89" s="1">
        <f t="shared" si="18"/>
        <v>0</v>
      </c>
      <c r="T89" s="1">
        <f t="shared" si="19"/>
        <v>0</v>
      </c>
      <c r="U89" s="1">
        <f t="shared" si="20"/>
        <v>0</v>
      </c>
      <c r="V89" s="1">
        <f t="shared" si="21"/>
        <v>2</v>
      </c>
      <c r="W89" s="1" t="str">
        <f t="shared" si="22"/>
        <v>3B</v>
      </c>
      <c r="X89" t="s">
        <v>39</v>
      </c>
      <c r="Y89" t="s">
        <v>39</v>
      </c>
      <c r="AJ89">
        <f t="shared" si="23"/>
        <v>10</v>
      </c>
      <c r="AK89">
        <f t="shared" si="24"/>
        <v>100</v>
      </c>
      <c r="AL89">
        <f t="shared" si="25"/>
        <v>2</v>
      </c>
      <c r="AM89">
        <f t="shared" si="15"/>
        <v>3</v>
      </c>
      <c r="AN89">
        <f t="shared" si="26"/>
        <v>2</v>
      </c>
      <c r="AO89">
        <f t="shared" si="27"/>
        <v>3</v>
      </c>
      <c r="AP89">
        <f t="shared" si="28"/>
        <v>0</v>
      </c>
      <c r="AQ89">
        <f t="shared" si="16"/>
        <v>0</v>
      </c>
      <c r="AR89">
        <f t="shared" si="29"/>
        <v>0</v>
      </c>
    </row>
    <row r="90" spans="1:44" x14ac:dyDescent="0.25">
      <c r="A90" t="s">
        <v>127</v>
      </c>
      <c r="B90" t="s">
        <v>7</v>
      </c>
      <c r="E90" t="s">
        <v>43</v>
      </c>
      <c r="H90" t="s">
        <v>1</v>
      </c>
      <c r="I90" s="1" t="s">
        <v>7</v>
      </c>
      <c r="J90" s="1"/>
      <c r="K90" s="1"/>
      <c r="L90" s="1" t="s">
        <v>43</v>
      </c>
      <c r="M90" s="1" t="b">
        <v>0</v>
      </c>
      <c r="N90" s="1"/>
      <c r="O90">
        <v>1</v>
      </c>
      <c r="P90">
        <v>0</v>
      </c>
      <c r="Q90">
        <v>3</v>
      </c>
      <c r="R90" s="1">
        <f t="shared" si="17"/>
        <v>1</v>
      </c>
      <c r="S90" s="1">
        <f t="shared" si="18"/>
        <v>0</v>
      </c>
      <c r="T90" s="1">
        <f t="shared" si="19"/>
        <v>0</v>
      </c>
      <c r="U90" s="1">
        <f t="shared" si="20"/>
        <v>0</v>
      </c>
      <c r="V90" s="1">
        <f t="shared" si="21"/>
        <v>3</v>
      </c>
      <c r="W90" s="1" t="str">
        <f t="shared" si="22"/>
        <v>3B</v>
      </c>
      <c r="X90" t="s">
        <v>39</v>
      </c>
      <c r="Y90" t="s">
        <v>39</v>
      </c>
      <c r="AJ90">
        <f t="shared" si="23"/>
        <v>100</v>
      </c>
      <c r="AK90">
        <f t="shared" si="24"/>
        <v>100</v>
      </c>
      <c r="AL90">
        <f t="shared" si="25"/>
        <v>3</v>
      </c>
      <c r="AM90">
        <f t="shared" si="15"/>
        <v>3</v>
      </c>
      <c r="AN90">
        <f t="shared" si="26"/>
        <v>3</v>
      </c>
      <c r="AO90">
        <f t="shared" si="27"/>
        <v>3</v>
      </c>
      <c r="AP90">
        <f t="shared" si="28"/>
        <v>0</v>
      </c>
      <c r="AQ90">
        <f t="shared" si="16"/>
        <v>0</v>
      </c>
      <c r="AR90">
        <f t="shared" si="29"/>
        <v>0</v>
      </c>
    </row>
    <row r="91" spans="1:44" x14ac:dyDescent="0.25">
      <c r="A91" t="s">
        <v>128</v>
      </c>
      <c r="B91" t="s">
        <v>7</v>
      </c>
      <c r="C91" t="s">
        <v>43</v>
      </c>
      <c r="D91" t="s">
        <v>43</v>
      </c>
      <c r="H91" t="s">
        <v>1</v>
      </c>
      <c r="I91" s="1" t="s">
        <v>7</v>
      </c>
      <c r="J91" s="1" t="s">
        <v>43</v>
      </c>
      <c r="K91" s="1" t="s">
        <v>43</v>
      </c>
      <c r="L91" s="1"/>
      <c r="M91" s="1" t="b">
        <v>0</v>
      </c>
      <c r="N91" s="1"/>
      <c r="O91">
        <v>2</v>
      </c>
      <c r="P91">
        <v>0</v>
      </c>
      <c r="Q91">
        <v>3</v>
      </c>
      <c r="R91" s="1">
        <f t="shared" si="17"/>
        <v>2</v>
      </c>
      <c r="S91" s="1">
        <f t="shared" si="18"/>
        <v>0</v>
      </c>
      <c r="T91" s="1">
        <f t="shared" si="19"/>
        <v>0</v>
      </c>
      <c r="U91" s="1">
        <f t="shared" si="20"/>
        <v>0</v>
      </c>
      <c r="V91" s="1">
        <f t="shared" si="21"/>
        <v>4</v>
      </c>
      <c r="W91" s="1" t="str">
        <f t="shared" si="22"/>
        <v>3B</v>
      </c>
      <c r="X91" t="s">
        <v>39</v>
      </c>
      <c r="Y91" t="s">
        <v>39</v>
      </c>
      <c r="AJ91">
        <f t="shared" si="23"/>
        <v>11</v>
      </c>
      <c r="AK91">
        <f t="shared" si="24"/>
        <v>100</v>
      </c>
      <c r="AL91">
        <f t="shared" si="25"/>
        <v>4</v>
      </c>
      <c r="AM91">
        <f t="shared" si="15"/>
        <v>3</v>
      </c>
      <c r="AN91">
        <f t="shared" si="26"/>
        <v>4</v>
      </c>
      <c r="AO91">
        <f t="shared" si="27"/>
        <v>3</v>
      </c>
      <c r="AP91">
        <f t="shared" si="28"/>
        <v>0</v>
      </c>
      <c r="AQ91">
        <f t="shared" si="16"/>
        <v>0</v>
      </c>
      <c r="AR91">
        <f t="shared" si="29"/>
        <v>0</v>
      </c>
    </row>
    <row r="92" spans="1:44" x14ac:dyDescent="0.25">
      <c r="A92" t="s">
        <v>129</v>
      </c>
      <c r="B92" t="s">
        <v>7</v>
      </c>
      <c r="C92" t="s">
        <v>43</v>
      </c>
      <c r="E92" t="s">
        <v>43</v>
      </c>
      <c r="H92" t="s">
        <v>1</v>
      </c>
      <c r="I92" s="1" t="s">
        <v>7</v>
      </c>
      <c r="J92" s="1" t="s">
        <v>43</v>
      </c>
      <c r="K92" s="1"/>
      <c r="L92" s="1" t="s">
        <v>43</v>
      </c>
      <c r="M92" s="1" t="b">
        <v>0</v>
      </c>
      <c r="N92" s="1"/>
      <c r="O92">
        <v>2</v>
      </c>
      <c r="P92">
        <v>0</v>
      </c>
      <c r="Q92">
        <v>3</v>
      </c>
      <c r="R92" s="1">
        <f t="shared" si="17"/>
        <v>2</v>
      </c>
      <c r="S92" s="1">
        <f t="shared" si="18"/>
        <v>0</v>
      </c>
      <c r="T92" s="1">
        <f t="shared" si="19"/>
        <v>0</v>
      </c>
      <c r="U92" s="1">
        <f t="shared" si="20"/>
        <v>0</v>
      </c>
      <c r="V92" s="1">
        <f t="shared" si="21"/>
        <v>5</v>
      </c>
      <c r="W92" s="1" t="str">
        <f t="shared" si="22"/>
        <v>3B</v>
      </c>
      <c r="X92" t="s">
        <v>39</v>
      </c>
      <c r="Y92" t="s">
        <v>39</v>
      </c>
      <c r="AJ92">
        <f t="shared" si="23"/>
        <v>101</v>
      </c>
      <c r="AK92">
        <f t="shared" si="24"/>
        <v>100</v>
      </c>
      <c r="AL92">
        <f t="shared" si="25"/>
        <v>5</v>
      </c>
      <c r="AM92">
        <f t="shared" si="15"/>
        <v>3</v>
      </c>
      <c r="AN92">
        <f t="shared" si="26"/>
        <v>5</v>
      </c>
      <c r="AO92">
        <f t="shared" si="27"/>
        <v>3</v>
      </c>
      <c r="AP92">
        <f t="shared" si="28"/>
        <v>0</v>
      </c>
      <c r="AQ92">
        <f t="shared" si="16"/>
        <v>0</v>
      </c>
      <c r="AR92">
        <f t="shared" si="29"/>
        <v>0</v>
      </c>
    </row>
    <row r="93" spans="1:44" x14ac:dyDescent="0.25">
      <c r="A93" t="s">
        <v>130</v>
      </c>
      <c r="B93" t="s">
        <v>7</v>
      </c>
      <c r="D93" t="s">
        <v>43</v>
      </c>
      <c r="E93" t="s">
        <v>43</v>
      </c>
      <c r="H93" t="s">
        <v>1</v>
      </c>
      <c r="I93" s="1" t="s">
        <v>7</v>
      </c>
      <c r="J93" s="1"/>
      <c r="K93" s="1" t="s">
        <v>43</v>
      </c>
      <c r="L93" s="1" t="s">
        <v>43</v>
      </c>
      <c r="M93" s="1" t="b">
        <v>0</v>
      </c>
      <c r="N93" s="1"/>
      <c r="O93">
        <v>2</v>
      </c>
      <c r="P93">
        <v>0</v>
      </c>
      <c r="Q93">
        <v>3</v>
      </c>
      <c r="R93" s="1">
        <f t="shared" si="17"/>
        <v>2</v>
      </c>
      <c r="S93" s="1">
        <f t="shared" si="18"/>
        <v>0</v>
      </c>
      <c r="T93" s="1">
        <f t="shared" si="19"/>
        <v>0</v>
      </c>
      <c r="U93" s="1">
        <f t="shared" si="20"/>
        <v>0</v>
      </c>
      <c r="V93" s="1">
        <f t="shared" si="21"/>
        <v>6</v>
      </c>
      <c r="W93" s="1" t="str">
        <f t="shared" si="22"/>
        <v>3B</v>
      </c>
      <c r="X93" t="s">
        <v>39</v>
      </c>
      <c r="Y93" t="s">
        <v>39</v>
      </c>
      <c r="AJ93">
        <f t="shared" si="23"/>
        <v>110</v>
      </c>
      <c r="AK93">
        <f t="shared" si="24"/>
        <v>100</v>
      </c>
      <c r="AL93">
        <f t="shared" si="25"/>
        <v>6</v>
      </c>
      <c r="AM93">
        <f t="shared" si="15"/>
        <v>3</v>
      </c>
      <c r="AN93">
        <f t="shared" si="26"/>
        <v>6</v>
      </c>
      <c r="AO93">
        <f t="shared" si="27"/>
        <v>3</v>
      </c>
      <c r="AP93">
        <f t="shared" si="28"/>
        <v>0</v>
      </c>
      <c r="AQ93">
        <f t="shared" si="16"/>
        <v>0</v>
      </c>
      <c r="AR93">
        <f t="shared" si="29"/>
        <v>0</v>
      </c>
    </row>
    <row r="94" spans="1:44" x14ac:dyDescent="0.25">
      <c r="A94" t="s">
        <v>131</v>
      </c>
      <c r="B94" t="s">
        <v>7</v>
      </c>
      <c r="C94" t="s">
        <v>43</v>
      </c>
      <c r="D94" t="s">
        <v>43</v>
      </c>
      <c r="E94" t="s">
        <v>43</v>
      </c>
      <c r="H94" t="s">
        <v>1</v>
      </c>
      <c r="I94" s="1" t="s">
        <v>7</v>
      </c>
      <c r="J94" s="1" t="s">
        <v>43</v>
      </c>
      <c r="K94" s="1" t="s">
        <v>43</v>
      </c>
      <c r="L94" s="1" t="s">
        <v>43</v>
      </c>
      <c r="M94" s="1" t="b">
        <v>0</v>
      </c>
      <c r="N94" s="1"/>
      <c r="O94">
        <v>3</v>
      </c>
      <c r="P94">
        <v>0</v>
      </c>
      <c r="Q94">
        <v>3</v>
      </c>
      <c r="R94" s="1">
        <f t="shared" si="17"/>
        <v>3</v>
      </c>
      <c r="S94" s="1">
        <f t="shared" si="18"/>
        <v>0</v>
      </c>
      <c r="T94" s="1">
        <f t="shared" si="19"/>
        <v>0</v>
      </c>
      <c r="U94" s="1">
        <f t="shared" si="20"/>
        <v>0</v>
      </c>
      <c r="V94" s="1">
        <f t="shared" si="21"/>
        <v>7</v>
      </c>
      <c r="W94" s="1" t="str">
        <f t="shared" si="22"/>
        <v>3B</v>
      </c>
      <c r="X94" t="s">
        <v>39</v>
      </c>
      <c r="Y94" t="s">
        <v>39</v>
      </c>
      <c r="AJ94">
        <f t="shared" si="23"/>
        <v>111</v>
      </c>
      <c r="AK94">
        <f t="shared" si="24"/>
        <v>100</v>
      </c>
      <c r="AL94">
        <f t="shared" si="25"/>
        <v>7</v>
      </c>
      <c r="AM94">
        <f t="shared" si="15"/>
        <v>3</v>
      </c>
      <c r="AN94">
        <f t="shared" si="26"/>
        <v>7</v>
      </c>
      <c r="AO94">
        <f t="shared" si="27"/>
        <v>3</v>
      </c>
      <c r="AP94">
        <f t="shared" si="28"/>
        <v>0</v>
      </c>
      <c r="AQ94">
        <f t="shared" si="16"/>
        <v>0</v>
      </c>
      <c r="AR94">
        <f t="shared" si="29"/>
        <v>0</v>
      </c>
    </row>
    <row r="95" spans="1:44" x14ac:dyDescent="0.25">
      <c r="A95" t="s">
        <v>132</v>
      </c>
      <c r="B95" t="s">
        <v>7</v>
      </c>
      <c r="H95" t="s">
        <v>1</v>
      </c>
      <c r="I95" s="1" t="s">
        <v>7</v>
      </c>
      <c r="J95" s="1"/>
      <c r="K95" s="1"/>
      <c r="L95" s="1"/>
      <c r="M95" s="1" t="b">
        <v>0</v>
      </c>
      <c r="N95" s="1"/>
      <c r="O95">
        <v>0</v>
      </c>
      <c r="P95">
        <v>1</v>
      </c>
      <c r="Q95">
        <v>3</v>
      </c>
      <c r="R95" s="1">
        <f t="shared" si="17"/>
        <v>0</v>
      </c>
      <c r="S95" s="1">
        <f t="shared" si="18"/>
        <v>1</v>
      </c>
      <c r="T95" s="1">
        <f t="shared" si="19"/>
        <v>0</v>
      </c>
      <c r="U95" s="1">
        <f t="shared" si="20"/>
        <v>1</v>
      </c>
      <c r="V95" s="1">
        <f t="shared" si="21"/>
        <v>0</v>
      </c>
      <c r="W95" s="1" t="str">
        <f t="shared" si="22"/>
        <v>3B</v>
      </c>
      <c r="X95" t="s">
        <v>39</v>
      </c>
      <c r="Y95" t="s">
        <v>39</v>
      </c>
      <c r="AJ95">
        <f t="shared" si="23"/>
        <v>0</v>
      </c>
      <c r="AK95">
        <f t="shared" si="24"/>
        <v>100</v>
      </c>
      <c r="AL95">
        <f t="shared" si="25"/>
        <v>0</v>
      </c>
      <c r="AM95">
        <f t="shared" si="15"/>
        <v>3</v>
      </c>
      <c r="AN95">
        <f t="shared" si="26"/>
        <v>0</v>
      </c>
      <c r="AO95">
        <f t="shared" si="27"/>
        <v>3</v>
      </c>
      <c r="AP95">
        <f t="shared" si="28"/>
        <v>0</v>
      </c>
      <c r="AQ95">
        <f t="shared" si="16"/>
        <v>0</v>
      </c>
      <c r="AR95">
        <f t="shared" si="29"/>
        <v>0</v>
      </c>
    </row>
    <row r="96" spans="1:44" x14ac:dyDescent="0.25">
      <c r="A96" t="s">
        <v>133</v>
      </c>
      <c r="B96" t="s">
        <v>7</v>
      </c>
      <c r="C96" t="s">
        <v>43</v>
      </c>
      <c r="H96" t="s">
        <v>1</v>
      </c>
      <c r="I96" s="1" t="s">
        <v>7</v>
      </c>
      <c r="J96" s="1" t="s">
        <v>43</v>
      </c>
      <c r="K96" s="1"/>
      <c r="L96" s="1"/>
      <c r="M96" s="1" t="b">
        <v>0</v>
      </c>
      <c r="N96" s="1"/>
      <c r="O96">
        <v>1</v>
      </c>
      <c r="P96">
        <v>1</v>
      </c>
      <c r="Q96">
        <v>3</v>
      </c>
      <c r="R96" s="1">
        <f t="shared" si="17"/>
        <v>1</v>
      </c>
      <c r="S96" s="1">
        <f t="shared" si="18"/>
        <v>1</v>
      </c>
      <c r="T96" s="1">
        <f t="shared" si="19"/>
        <v>0</v>
      </c>
      <c r="U96" s="1">
        <f t="shared" si="20"/>
        <v>1</v>
      </c>
      <c r="V96" s="1">
        <f t="shared" si="21"/>
        <v>1</v>
      </c>
      <c r="W96" s="1" t="str">
        <f t="shared" si="22"/>
        <v>3B</v>
      </c>
      <c r="X96" t="s">
        <v>39</v>
      </c>
      <c r="Y96" t="s">
        <v>39</v>
      </c>
      <c r="AJ96">
        <f t="shared" si="23"/>
        <v>1</v>
      </c>
      <c r="AK96">
        <f t="shared" si="24"/>
        <v>100</v>
      </c>
      <c r="AL96">
        <f t="shared" si="25"/>
        <v>1</v>
      </c>
      <c r="AM96">
        <f t="shared" si="15"/>
        <v>3</v>
      </c>
      <c r="AN96">
        <f t="shared" si="26"/>
        <v>1</v>
      </c>
      <c r="AO96">
        <f t="shared" si="27"/>
        <v>3</v>
      </c>
      <c r="AP96">
        <f t="shared" si="28"/>
        <v>0</v>
      </c>
      <c r="AQ96">
        <f t="shared" si="16"/>
        <v>0</v>
      </c>
      <c r="AR96">
        <f t="shared" si="29"/>
        <v>0</v>
      </c>
    </row>
    <row r="97" spans="1:44" x14ac:dyDescent="0.25">
      <c r="A97" t="s">
        <v>134</v>
      </c>
      <c r="B97" t="s">
        <v>7</v>
      </c>
      <c r="D97" t="s">
        <v>43</v>
      </c>
      <c r="H97" t="s">
        <v>1</v>
      </c>
      <c r="I97" s="1" t="s">
        <v>7</v>
      </c>
      <c r="J97" s="1"/>
      <c r="K97" s="1" t="s">
        <v>43</v>
      </c>
      <c r="L97" s="1"/>
      <c r="M97" s="1" t="b">
        <v>0</v>
      </c>
      <c r="N97" s="1"/>
      <c r="O97">
        <v>1</v>
      </c>
      <c r="P97">
        <v>1</v>
      </c>
      <c r="Q97">
        <v>3</v>
      </c>
      <c r="R97" s="1">
        <f t="shared" si="17"/>
        <v>1</v>
      </c>
      <c r="S97" s="1">
        <f t="shared" si="18"/>
        <v>1</v>
      </c>
      <c r="T97" s="1">
        <f t="shared" si="19"/>
        <v>0</v>
      </c>
      <c r="U97" s="1">
        <f t="shared" si="20"/>
        <v>1</v>
      </c>
      <c r="V97" s="1">
        <f t="shared" si="21"/>
        <v>2</v>
      </c>
      <c r="W97" s="1" t="str">
        <f t="shared" si="22"/>
        <v>3B</v>
      </c>
      <c r="X97" t="s">
        <v>39</v>
      </c>
      <c r="Y97" t="s">
        <v>39</v>
      </c>
      <c r="AJ97">
        <f t="shared" si="23"/>
        <v>10</v>
      </c>
      <c r="AK97">
        <f t="shared" si="24"/>
        <v>100</v>
      </c>
      <c r="AL97">
        <f t="shared" si="25"/>
        <v>2</v>
      </c>
      <c r="AM97">
        <f t="shared" si="15"/>
        <v>3</v>
      </c>
      <c r="AN97">
        <f t="shared" si="26"/>
        <v>2</v>
      </c>
      <c r="AO97">
        <f t="shared" si="27"/>
        <v>3</v>
      </c>
      <c r="AP97">
        <f t="shared" si="28"/>
        <v>0</v>
      </c>
      <c r="AQ97">
        <f t="shared" si="16"/>
        <v>0</v>
      </c>
      <c r="AR97">
        <f t="shared" si="29"/>
        <v>0</v>
      </c>
    </row>
    <row r="98" spans="1:44" x14ac:dyDescent="0.25">
      <c r="A98" t="s">
        <v>135</v>
      </c>
      <c r="B98" t="s">
        <v>7</v>
      </c>
      <c r="E98" t="s">
        <v>43</v>
      </c>
      <c r="H98" t="s">
        <v>1</v>
      </c>
      <c r="I98" s="1" t="s">
        <v>7</v>
      </c>
      <c r="J98" s="1"/>
      <c r="K98" s="1"/>
      <c r="L98" s="1" t="s">
        <v>43</v>
      </c>
      <c r="M98" s="1" t="b">
        <v>0</v>
      </c>
      <c r="N98" s="1"/>
      <c r="O98">
        <v>1</v>
      </c>
      <c r="P98">
        <v>1</v>
      </c>
      <c r="Q98">
        <v>3</v>
      </c>
      <c r="R98" s="1">
        <f t="shared" si="17"/>
        <v>1</v>
      </c>
      <c r="S98" s="1">
        <f t="shared" si="18"/>
        <v>1</v>
      </c>
      <c r="T98" s="1">
        <f t="shared" si="19"/>
        <v>0</v>
      </c>
      <c r="U98" s="1">
        <f t="shared" si="20"/>
        <v>1</v>
      </c>
      <c r="V98" s="1">
        <f t="shared" si="21"/>
        <v>3</v>
      </c>
      <c r="W98" s="1" t="str">
        <f t="shared" si="22"/>
        <v>3B</v>
      </c>
      <c r="X98" t="s">
        <v>39</v>
      </c>
      <c r="Y98" t="s">
        <v>39</v>
      </c>
      <c r="AJ98">
        <f t="shared" si="23"/>
        <v>100</v>
      </c>
      <c r="AK98">
        <f t="shared" si="24"/>
        <v>100</v>
      </c>
      <c r="AL98">
        <f t="shared" si="25"/>
        <v>3</v>
      </c>
      <c r="AM98">
        <f t="shared" si="15"/>
        <v>3</v>
      </c>
      <c r="AN98">
        <f t="shared" si="26"/>
        <v>3</v>
      </c>
      <c r="AO98">
        <f t="shared" si="27"/>
        <v>3</v>
      </c>
      <c r="AP98">
        <f t="shared" si="28"/>
        <v>0</v>
      </c>
      <c r="AQ98">
        <f t="shared" si="16"/>
        <v>0</v>
      </c>
      <c r="AR98">
        <f t="shared" si="29"/>
        <v>0</v>
      </c>
    </row>
    <row r="99" spans="1:44" x14ac:dyDescent="0.25">
      <c r="A99" t="s">
        <v>136</v>
      </c>
      <c r="B99" t="s">
        <v>7</v>
      </c>
      <c r="C99" t="s">
        <v>43</v>
      </c>
      <c r="D99" t="s">
        <v>43</v>
      </c>
      <c r="H99" t="s">
        <v>1</v>
      </c>
      <c r="I99" s="1" t="s">
        <v>7</v>
      </c>
      <c r="J99" s="1" t="s">
        <v>43</v>
      </c>
      <c r="K99" s="1" t="s">
        <v>43</v>
      </c>
      <c r="L99" s="1"/>
      <c r="M99" s="1" t="b">
        <v>0</v>
      </c>
      <c r="N99" s="1"/>
      <c r="O99">
        <v>2</v>
      </c>
      <c r="P99">
        <v>1</v>
      </c>
      <c r="Q99">
        <v>3</v>
      </c>
      <c r="R99" s="1">
        <f t="shared" si="17"/>
        <v>2</v>
      </c>
      <c r="S99" s="1">
        <f t="shared" si="18"/>
        <v>1</v>
      </c>
      <c r="T99" s="1">
        <f t="shared" si="19"/>
        <v>0</v>
      </c>
      <c r="U99" s="1">
        <f t="shared" si="20"/>
        <v>1</v>
      </c>
      <c r="V99" s="1">
        <f t="shared" si="21"/>
        <v>4</v>
      </c>
      <c r="W99" s="1" t="str">
        <f t="shared" si="22"/>
        <v>3B</v>
      </c>
      <c r="X99" t="s">
        <v>39</v>
      </c>
      <c r="Y99" t="s">
        <v>39</v>
      </c>
      <c r="AJ99">
        <f t="shared" si="23"/>
        <v>11</v>
      </c>
      <c r="AK99">
        <f t="shared" si="24"/>
        <v>100</v>
      </c>
      <c r="AL99">
        <f t="shared" si="25"/>
        <v>4</v>
      </c>
      <c r="AM99">
        <f t="shared" si="15"/>
        <v>3</v>
      </c>
      <c r="AN99">
        <f t="shared" si="26"/>
        <v>4</v>
      </c>
      <c r="AO99">
        <f t="shared" si="27"/>
        <v>3</v>
      </c>
      <c r="AP99">
        <f t="shared" si="28"/>
        <v>0</v>
      </c>
      <c r="AQ99">
        <f t="shared" si="16"/>
        <v>0</v>
      </c>
      <c r="AR99">
        <f t="shared" si="29"/>
        <v>0</v>
      </c>
    </row>
    <row r="100" spans="1:44" x14ac:dyDescent="0.25">
      <c r="A100" t="s">
        <v>137</v>
      </c>
      <c r="B100" t="s">
        <v>7</v>
      </c>
      <c r="C100" t="s">
        <v>43</v>
      </c>
      <c r="E100" t="s">
        <v>43</v>
      </c>
      <c r="H100" t="s">
        <v>1</v>
      </c>
      <c r="I100" s="1" t="s">
        <v>7</v>
      </c>
      <c r="J100" s="1" t="s">
        <v>43</v>
      </c>
      <c r="K100" s="1"/>
      <c r="L100" s="1" t="s">
        <v>43</v>
      </c>
      <c r="M100" s="1" t="b">
        <v>0</v>
      </c>
      <c r="N100" s="1"/>
      <c r="O100">
        <v>2</v>
      </c>
      <c r="P100">
        <v>1</v>
      </c>
      <c r="Q100">
        <v>3</v>
      </c>
      <c r="R100" s="1">
        <f t="shared" si="17"/>
        <v>2</v>
      </c>
      <c r="S100" s="1">
        <f t="shared" si="18"/>
        <v>1</v>
      </c>
      <c r="T100" s="1">
        <f t="shared" si="19"/>
        <v>0</v>
      </c>
      <c r="U100" s="1">
        <f t="shared" si="20"/>
        <v>1</v>
      </c>
      <c r="V100" s="1">
        <f t="shared" si="21"/>
        <v>5</v>
      </c>
      <c r="W100" s="1" t="str">
        <f t="shared" si="22"/>
        <v>3B</v>
      </c>
      <c r="X100" t="s">
        <v>39</v>
      </c>
      <c r="Y100" t="s">
        <v>39</v>
      </c>
      <c r="AJ100">
        <f t="shared" si="23"/>
        <v>101</v>
      </c>
      <c r="AK100">
        <f t="shared" si="24"/>
        <v>100</v>
      </c>
      <c r="AL100">
        <f t="shared" si="25"/>
        <v>5</v>
      </c>
      <c r="AM100">
        <f t="shared" si="15"/>
        <v>3</v>
      </c>
      <c r="AN100">
        <f t="shared" si="26"/>
        <v>5</v>
      </c>
      <c r="AO100">
        <f t="shared" si="27"/>
        <v>3</v>
      </c>
      <c r="AP100">
        <f t="shared" si="28"/>
        <v>0</v>
      </c>
      <c r="AQ100">
        <f t="shared" si="16"/>
        <v>0</v>
      </c>
      <c r="AR100">
        <f t="shared" si="29"/>
        <v>0</v>
      </c>
    </row>
    <row r="101" spans="1:44" x14ac:dyDescent="0.25">
      <c r="A101" t="s">
        <v>138</v>
      </c>
      <c r="B101" t="s">
        <v>7</v>
      </c>
      <c r="D101" t="s">
        <v>43</v>
      </c>
      <c r="E101" t="s">
        <v>43</v>
      </c>
      <c r="H101" t="s">
        <v>1</v>
      </c>
      <c r="I101" s="1" t="s">
        <v>7</v>
      </c>
      <c r="J101" s="1"/>
      <c r="K101" s="1" t="s">
        <v>43</v>
      </c>
      <c r="L101" s="1" t="s">
        <v>43</v>
      </c>
      <c r="M101" s="1" t="b">
        <v>0</v>
      </c>
      <c r="N101" s="1"/>
      <c r="O101">
        <v>2</v>
      </c>
      <c r="P101">
        <v>1</v>
      </c>
      <c r="Q101">
        <v>3</v>
      </c>
      <c r="R101" s="1">
        <f t="shared" si="17"/>
        <v>2</v>
      </c>
      <c r="S101" s="1">
        <f t="shared" si="18"/>
        <v>1</v>
      </c>
      <c r="T101" s="1">
        <f t="shared" si="19"/>
        <v>0</v>
      </c>
      <c r="U101" s="1">
        <f t="shared" si="20"/>
        <v>1</v>
      </c>
      <c r="V101" s="1">
        <f t="shared" si="21"/>
        <v>6</v>
      </c>
      <c r="W101" s="1" t="str">
        <f t="shared" si="22"/>
        <v>3B</v>
      </c>
      <c r="X101" t="s">
        <v>39</v>
      </c>
      <c r="Y101" t="s">
        <v>39</v>
      </c>
      <c r="AJ101">
        <f t="shared" si="23"/>
        <v>110</v>
      </c>
      <c r="AK101">
        <f t="shared" si="24"/>
        <v>100</v>
      </c>
      <c r="AL101">
        <f t="shared" si="25"/>
        <v>6</v>
      </c>
      <c r="AM101">
        <f t="shared" si="15"/>
        <v>3</v>
      </c>
      <c r="AN101">
        <f t="shared" si="26"/>
        <v>6</v>
      </c>
      <c r="AO101">
        <f t="shared" si="27"/>
        <v>3</v>
      </c>
      <c r="AP101">
        <f t="shared" si="28"/>
        <v>0</v>
      </c>
      <c r="AQ101">
        <f t="shared" si="16"/>
        <v>0</v>
      </c>
      <c r="AR101">
        <f t="shared" si="29"/>
        <v>0</v>
      </c>
    </row>
    <row r="102" spans="1:44" x14ac:dyDescent="0.25">
      <c r="A102" t="s">
        <v>139</v>
      </c>
      <c r="B102" t="s">
        <v>7</v>
      </c>
      <c r="C102" t="s">
        <v>43</v>
      </c>
      <c r="D102" t="s">
        <v>43</v>
      </c>
      <c r="E102" t="s">
        <v>43</v>
      </c>
      <c r="H102" t="s">
        <v>1</v>
      </c>
      <c r="I102" s="1" t="s">
        <v>7</v>
      </c>
      <c r="J102" s="1" t="s">
        <v>43</v>
      </c>
      <c r="K102" s="1" t="s">
        <v>43</v>
      </c>
      <c r="L102" s="1" t="s">
        <v>43</v>
      </c>
      <c r="M102" s="1" t="b">
        <v>0</v>
      </c>
      <c r="N102" s="1"/>
      <c r="O102">
        <v>3</v>
      </c>
      <c r="P102">
        <v>1</v>
      </c>
      <c r="Q102">
        <v>3</v>
      </c>
      <c r="R102" s="1">
        <f t="shared" si="17"/>
        <v>3</v>
      </c>
      <c r="S102" s="1">
        <f t="shared" si="18"/>
        <v>1</v>
      </c>
      <c r="T102" s="1">
        <f t="shared" si="19"/>
        <v>0</v>
      </c>
      <c r="U102" s="1">
        <f t="shared" si="20"/>
        <v>1</v>
      </c>
      <c r="V102" s="1">
        <f t="shared" si="21"/>
        <v>7</v>
      </c>
      <c r="W102" s="1" t="str">
        <f t="shared" si="22"/>
        <v>3B</v>
      </c>
      <c r="X102" t="s">
        <v>39</v>
      </c>
      <c r="Y102" t="s">
        <v>39</v>
      </c>
      <c r="AJ102">
        <f t="shared" si="23"/>
        <v>111</v>
      </c>
      <c r="AK102">
        <f t="shared" si="24"/>
        <v>100</v>
      </c>
      <c r="AL102">
        <f t="shared" si="25"/>
        <v>7</v>
      </c>
      <c r="AM102">
        <f t="shared" si="15"/>
        <v>3</v>
      </c>
      <c r="AN102">
        <f t="shared" si="26"/>
        <v>7</v>
      </c>
      <c r="AO102">
        <f t="shared" si="27"/>
        <v>3</v>
      </c>
      <c r="AP102">
        <f t="shared" si="28"/>
        <v>0</v>
      </c>
      <c r="AQ102">
        <f t="shared" si="16"/>
        <v>0</v>
      </c>
      <c r="AR102">
        <f t="shared" si="29"/>
        <v>0</v>
      </c>
    </row>
    <row r="103" spans="1:44" x14ac:dyDescent="0.25">
      <c r="A103" t="s">
        <v>140</v>
      </c>
      <c r="B103" t="s">
        <v>7</v>
      </c>
      <c r="H103" t="s">
        <v>1</v>
      </c>
      <c r="I103" s="1" t="s">
        <v>7</v>
      </c>
      <c r="J103" s="1"/>
      <c r="K103" s="1"/>
      <c r="L103" s="1"/>
      <c r="M103" s="1" t="b">
        <v>0</v>
      </c>
      <c r="N103" s="1"/>
      <c r="O103">
        <v>0</v>
      </c>
      <c r="P103">
        <v>2</v>
      </c>
      <c r="Q103">
        <v>3</v>
      </c>
      <c r="R103" s="1">
        <f t="shared" si="17"/>
        <v>0</v>
      </c>
      <c r="S103" s="1">
        <f t="shared" si="18"/>
        <v>2</v>
      </c>
      <c r="T103" s="1">
        <f t="shared" si="19"/>
        <v>0</v>
      </c>
      <c r="U103" s="1">
        <f t="shared" si="20"/>
        <v>2</v>
      </c>
      <c r="V103" s="1">
        <f t="shared" si="21"/>
        <v>0</v>
      </c>
      <c r="W103" s="1" t="str">
        <f t="shared" si="22"/>
        <v>3B</v>
      </c>
      <c r="X103" t="s">
        <v>39</v>
      </c>
      <c r="Y103" t="s">
        <v>39</v>
      </c>
      <c r="AJ103">
        <f t="shared" si="23"/>
        <v>0</v>
      </c>
      <c r="AK103">
        <f t="shared" si="24"/>
        <v>100</v>
      </c>
      <c r="AL103">
        <f t="shared" si="25"/>
        <v>0</v>
      </c>
      <c r="AM103">
        <f t="shared" si="15"/>
        <v>3</v>
      </c>
      <c r="AN103">
        <f t="shared" si="26"/>
        <v>0</v>
      </c>
      <c r="AO103">
        <f t="shared" si="27"/>
        <v>3</v>
      </c>
      <c r="AP103">
        <f t="shared" si="28"/>
        <v>0</v>
      </c>
      <c r="AQ103">
        <f t="shared" si="16"/>
        <v>0</v>
      </c>
      <c r="AR103">
        <f t="shared" si="29"/>
        <v>0</v>
      </c>
    </row>
    <row r="104" spans="1:44" x14ac:dyDescent="0.25">
      <c r="A104" t="s">
        <v>141</v>
      </c>
      <c r="B104" t="s">
        <v>7</v>
      </c>
      <c r="C104" t="s">
        <v>43</v>
      </c>
      <c r="H104" t="s">
        <v>1</v>
      </c>
      <c r="I104" s="1" t="s">
        <v>7</v>
      </c>
      <c r="J104" s="1" t="s">
        <v>43</v>
      </c>
      <c r="K104" s="1"/>
      <c r="L104" s="1"/>
      <c r="M104" s="1" t="b">
        <v>0</v>
      </c>
      <c r="N104" s="1"/>
      <c r="O104">
        <v>1</v>
      </c>
      <c r="P104">
        <v>2</v>
      </c>
      <c r="Q104">
        <v>3</v>
      </c>
      <c r="R104" s="1">
        <f t="shared" si="17"/>
        <v>1</v>
      </c>
      <c r="S104" s="1">
        <f t="shared" si="18"/>
        <v>2</v>
      </c>
      <c r="T104" s="1">
        <f t="shared" si="19"/>
        <v>0</v>
      </c>
      <c r="U104" s="1">
        <f t="shared" si="20"/>
        <v>2</v>
      </c>
      <c r="V104" s="1">
        <f t="shared" si="21"/>
        <v>1</v>
      </c>
      <c r="W104" s="1" t="str">
        <f t="shared" si="22"/>
        <v>3B</v>
      </c>
      <c r="X104" t="s">
        <v>39</v>
      </c>
      <c r="Y104" t="s">
        <v>39</v>
      </c>
      <c r="AJ104">
        <f t="shared" si="23"/>
        <v>1</v>
      </c>
      <c r="AK104">
        <f t="shared" si="24"/>
        <v>100</v>
      </c>
      <c r="AL104">
        <f t="shared" si="25"/>
        <v>1</v>
      </c>
      <c r="AM104">
        <f t="shared" si="15"/>
        <v>3</v>
      </c>
      <c r="AN104">
        <f t="shared" si="26"/>
        <v>1</v>
      </c>
      <c r="AO104">
        <f t="shared" si="27"/>
        <v>3</v>
      </c>
      <c r="AP104">
        <f t="shared" si="28"/>
        <v>0</v>
      </c>
      <c r="AQ104">
        <f t="shared" si="16"/>
        <v>0</v>
      </c>
      <c r="AR104">
        <f t="shared" si="29"/>
        <v>0</v>
      </c>
    </row>
    <row r="105" spans="1:44" x14ac:dyDescent="0.25">
      <c r="A105" t="s">
        <v>142</v>
      </c>
      <c r="B105" t="s">
        <v>7</v>
      </c>
      <c r="D105" t="s">
        <v>43</v>
      </c>
      <c r="H105" t="s">
        <v>1</v>
      </c>
      <c r="I105" s="1" t="s">
        <v>7</v>
      </c>
      <c r="J105" s="1"/>
      <c r="K105" s="1" t="s">
        <v>43</v>
      </c>
      <c r="L105" s="1"/>
      <c r="M105" s="1" t="b">
        <v>0</v>
      </c>
      <c r="N105" s="1"/>
      <c r="O105">
        <v>1</v>
      </c>
      <c r="P105">
        <v>2</v>
      </c>
      <c r="Q105">
        <v>3</v>
      </c>
      <c r="R105" s="1">
        <f t="shared" si="17"/>
        <v>1</v>
      </c>
      <c r="S105" s="1">
        <f t="shared" si="18"/>
        <v>2</v>
      </c>
      <c r="T105" s="1">
        <f t="shared" si="19"/>
        <v>0</v>
      </c>
      <c r="U105" s="1">
        <f t="shared" si="20"/>
        <v>2</v>
      </c>
      <c r="V105" s="1">
        <f t="shared" si="21"/>
        <v>2</v>
      </c>
      <c r="W105" s="1" t="str">
        <f t="shared" si="22"/>
        <v>3B</v>
      </c>
      <c r="X105" t="s">
        <v>39</v>
      </c>
      <c r="Y105" t="s">
        <v>39</v>
      </c>
      <c r="AJ105">
        <f t="shared" si="23"/>
        <v>10</v>
      </c>
      <c r="AK105">
        <f t="shared" si="24"/>
        <v>100</v>
      </c>
      <c r="AL105">
        <f t="shared" si="25"/>
        <v>2</v>
      </c>
      <c r="AM105">
        <f t="shared" si="15"/>
        <v>3</v>
      </c>
      <c r="AN105">
        <f t="shared" si="26"/>
        <v>2</v>
      </c>
      <c r="AO105">
        <f t="shared" si="27"/>
        <v>3</v>
      </c>
      <c r="AP105">
        <f t="shared" si="28"/>
        <v>0</v>
      </c>
      <c r="AQ105">
        <f t="shared" si="16"/>
        <v>0</v>
      </c>
      <c r="AR105">
        <f t="shared" si="29"/>
        <v>0</v>
      </c>
    </row>
    <row r="106" spans="1:44" x14ac:dyDescent="0.25">
      <c r="A106" t="s">
        <v>143</v>
      </c>
      <c r="B106" t="s">
        <v>7</v>
      </c>
      <c r="E106" t="s">
        <v>43</v>
      </c>
      <c r="H106" t="s">
        <v>1</v>
      </c>
      <c r="I106" s="1" t="s">
        <v>7</v>
      </c>
      <c r="J106" s="1"/>
      <c r="K106" s="1"/>
      <c r="L106" s="1" t="s">
        <v>43</v>
      </c>
      <c r="M106" s="1" t="b">
        <v>0</v>
      </c>
      <c r="N106" s="1"/>
      <c r="O106">
        <v>1</v>
      </c>
      <c r="P106">
        <v>2</v>
      </c>
      <c r="Q106">
        <v>3</v>
      </c>
      <c r="R106" s="1">
        <f t="shared" si="17"/>
        <v>1</v>
      </c>
      <c r="S106" s="1">
        <f t="shared" si="18"/>
        <v>2</v>
      </c>
      <c r="T106" s="1">
        <f t="shared" si="19"/>
        <v>0</v>
      </c>
      <c r="U106" s="1">
        <f t="shared" si="20"/>
        <v>2</v>
      </c>
      <c r="V106" s="1">
        <f t="shared" si="21"/>
        <v>3</v>
      </c>
      <c r="W106" s="1" t="str">
        <f t="shared" si="22"/>
        <v>3B</v>
      </c>
      <c r="X106" t="s">
        <v>39</v>
      </c>
      <c r="Y106" t="s">
        <v>39</v>
      </c>
      <c r="AJ106">
        <f t="shared" si="23"/>
        <v>100</v>
      </c>
      <c r="AK106">
        <f t="shared" si="24"/>
        <v>100</v>
      </c>
      <c r="AL106">
        <f t="shared" si="25"/>
        <v>3</v>
      </c>
      <c r="AM106">
        <f t="shared" si="15"/>
        <v>3</v>
      </c>
      <c r="AN106">
        <f t="shared" si="26"/>
        <v>3</v>
      </c>
      <c r="AO106">
        <f t="shared" si="27"/>
        <v>3</v>
      </c>
      <c r="AP106">
        <f t="shared" si="28"/>
        <v>0</v>
      </c>
      <c r="AQ106">
        <f t="shared" si="16"/>
        <v>0</v>
      </c>
      <c r="AR106">
        <f t="shared" si="29"/>
        <v>0</v>
      </c>
    </row>
    <row r="107" spans="1:44" x14ac:dyDescent="0.25">
      <c r="A107" t="s">
        <v>144</v>
      </c>
      <c r="B107" t="s">
        <v>7</v>
      </c>
      <c r="C107" t="s">
        <v>43</v>
      </c>
      <c r="D107" t="s">
        <v>43</v>
      </c>
      <c r="H107" t="s">
        <v>1</v>
      </c>
      <c r="I107" s="1" t="s">
        <v>7</v>
      </c>
      <c r="J107" s="1" t="s">
        <v>43</v>
      </c>
      <c r="K107" s="1" t="s">
        <v>43</v>
      </c>
      <c r="L107" s="1"/>
      <c r="M107" s="1" t="b">
        <v>0</v>
      </c>
      <c r="N107" s="1"/>
      <c r="O107">
        <v>2</v>
      </c>
      <c r="P107">
        <v>2</v>
      </c>
      <c r="Q107">
        <v>3</v>
      </c>
      <c r="R107" s="1">
        <f t="shared" si="17"/>
        <v>2</v>
      </c>
      <c r="S107" s="1">
        <f t="shared" si="18"/>
        <v>2</v>
      </c>
      <c r="T107" s="1">
        <f t="shared" si="19"/>
        <v>0</v>
      </c>
      <c r="U107" s="1">
        <f t="shared" si="20"/>
        <v>2</v>
      </c>
      <c r="V107" s="1">
        <f t="shared" si="21"/>
        <v>4</v>
      </c>
      <c r="W107" s="1" t="str">
        <f t="shared" si="22"/>
        <v>3B</v>
      </c>
      <c r="X107" t="s">
        <v>39</v>
      </c>
      <c r="Y107" t="s">
        <v>39</v>
      </c>
      <c r="AJ107">
        <f t="shared" si="23"/>
        <v>11</v>
      </c>
      <c r="AK107">
        <f t="shared" si="24"/>
        <v>100</v>
      </c>
      <c r="AL107">
        <f t="shared" si="25"/>
        <v>4</v>
      </c>
      <c r="AM107">
        <f t="shared" si="15"/>
        <v>3</v>
      </c>
      <c r="AN107">
        <f t="shared" si="26"/>
        <v>4</v>
      </c>
      <c r="AO107">
        <f t="shared" si="27"/>
        <v>3</v>
      </c>
      <c r="AP107">
        <f t="shared" si="28"/>
        <v>0</v>
      </c>
      <c r="AQ107">
        <f t="shared" si="16"/>
        <v>0</v>
      </c>
      <c r="AR107">
        <f t="shared" si="29"/>
        <v>0</v>
      </c>
    </row>
    <row r="108" spans="1:44" x14ac:dyDescent="0.25">
      <c r="A108" t="s">
        <v>145</v>
      </c>
      <c r="B108" t="s">
        <v>7</v>
      </c>
      <c r="C108" t="s">
        <v>43</v>
      </c>
      <c r="E108" t="s">
        <v>43</v>
      </c>
      <c r="H108" t="s">
        <v>1</v>
      </c>
      <c r="I108" s="1" t="s">
        <v>7</v>
      </c>
      <c r="J108" s="1" t="s">
        <v>43</v>
      </c>
      <c r="K108" s="1"/>
      <c r="L108" s="1" t="s">
        <v>43</v>
      </c>
      <c r="M108" s="1" t="b">
        <v>0</v>
      </c>
      <c r="N108" s="1"/>
      <c r="O108">
        <v>2</v>
      </c>
      <c r="P108">
        <v>2</v>
      </c>
      <c r="Q108">
        <v>3</v>
      </c>
      <c r="R108" s="1">
        <f t="shared" si="17"/>
        <v>2</v>
      </c>
      <c r="S108" s="1">
        <f t="shared" si="18"/>
        <v>2</v>
      </c>
      <c r="T108" s="1">
        <f t="shared" si="19"/>
        <v>0</v>
      </c>
      <c r="U108" s="1">
        <f t="shared" si="20"/>
        <v>2</v>
      </c>
      <c r="V108" s="1">
        <f t="shared" si="21"/>
        <v>5</v>
      </c>
      <c r="W108" s="1" t="str">
        <f t="shared" si="22"/>
        <v>3B</v>
      </c>
      <c r="X108" t="s">
        <v>39</v>
      </c>
      <c r="Y108" t="s">
        <v>39</v>
      </c>
      <c r="AJ108">
        <f t="shared" si="23"/>
        <v>101</v>
      </c>
      <c r="AK108">
        <f t="shared" si="24"/>
        <v>100</v>
      </c>
      <c r="AL108">
        <f t="shared" si="25"/>
        <v>5</v>
      </c>
      <c r="AM108">
        <f t="shared" si="15"/>
        <v>3</v>
      </c>
      <c r="AN108">
        <f t="shared" si="26"/>
        <v>5</v>
      </c>
      <c r="AO108">
        <f t="shared" si="27"/>
        <v>3</v>
      </c>
      <c r="AP108">
        <f t="shared" si="28"/>
        <v>0</v>
      </c>
      <c r="AQ108">
        <f t="shared" si="16"/>
        <v>0</v>
      </c>
      <c r="AR108">
        <f t="shared" si="29"/>
        <v>0</v>
      </c>
    </row>
    <row r="109" spans="1:44" x14ac:dyDescent="0.25">
      <c r="A109" t="s">
        <v>146</v>
      </c>
      <c r="B109" t="s">
        <v>7</v>
      </c>
      <c r="D109" t="s">
        <v>43</v>
      </c>
      <c r="E109" t="s">
        <v>43</v>
      </c>
      <c r="H109" t="s">
        <v>1</v>
      </c>
      <c r="I109" s="1" t="s">
        <v>7</v>
      </c>
      <c r="J109" s="1"/>
      <c r="K109" s="1" t="s">
        <v>43</v>
      </c>
      <c r="L109" s="1" t="s">
        <v>43</v>
      </c>
      <c r="M109" s="1" t="b">
        <v>0</v>
      </c>
      <c r="N109" s="1"/>
      <c r="O109">
        <v>2</v>
      </c>
      <c r="P109">
        <v>2</v>
      </c>
      <c r="Q109">
        <v>3</v>
      </c>
      <c r="R109" s="1">
        <f t="shared" si="17"/>
        <v>2</v>
      </c>
      <c r="S109" s="1">
        <f t="shared" si="18"/>
        <v>2</v>
      </c>
      <c r="T109" s="1">
        <f t="shared" si="19"/>
        <v>0</v>
      </c>
      <c r="U109" s="1">
        <f t="shared" si="20"/>
        <v>2</v>
      </c>
      <c r="V109" s="1">
        <f t="shared" si="21"/>
        <v>6</v>
      </c>
      <c r="W109" s="1" t="str">
        <f t="shared" si="22"/>
        <v>3B</v>
      </c>
      <c r="X109" t="s">
        <v>39</v>
      </c>
      <c r="Y109" t="s">
        <v>39</v>
      </c>
      <c r="AJ109">
        <f t="shared" si="23"/>
        <v>110</v>
      </c>
      <c r="AK109">
        <f t="shared" si="24"/>
        <v>100</v>
      </c>
      <c r="AL109">
        <f t="shared" si="25"/>
        <v>6</v>
      </c>
      <c r="AM109">
        <f t="shared" si="15"/>
        <v>3</v>
      </c>
      <c r="AN109">
        <f t="shared" si="26"/>
        <v>6</v>
      </c>
      <c r="AO109">
        <f t="shared" si="27"/>
        <v>3</v>
      </c>
      <c r="AP109">
        <f t="shared" si="28"/>
        <v>0</v>
      </c>
      <c r="AQ109">
        <f t="shared" si="16"/>
        <v>0</v>
      </c>
      <c r="AR109">
        <f t="shared" si="29"/>
        <v>0</v>
      </c>
    </row>
    <row r="110" spans="1:44" x14ac:dyDescent="0.25">
      <c r="A110" t="s">
        <v>147</v>
      </c>
      <c r="B110" t="s">
        <v>7</v>
      </c>
      <c r="C110" t="s">
        <v>43</v>
      </c>
      <c r="D110" t="s">
        <v>43</v>
      </c>
      <c r="E110" t="s">
        <v>43</v>
      </c>
      <c r="H110" t="s">
        <v>1</v>
      </c>
      <c r="I110" s="1" t="s">
        <v>7</v>
      </c>
      <c r="J110" s="1" t="s">
        <v>43</v>
      </c>
      <c r="K110" s="1" t="s">
        <v>43</v>
      </c>
      <c r="L110" s="1" t="s">
        <v>43</v>
      </c>
      <c r="M110" s="1" t="b">
        <v>0</v>
      </c>
      <c r="N110" s="1"/>
      <c r="O110">
        <v>3</v>
      </c>
      <c r="P110">
        <v>2</v>
      </c>
      <c r="Q110">
        <v>3</v>
      </c>
      <c r="R110" s="1">
        <f t="shared" si="17"/>
        <v>3</v>
      </c>
      <c r="S110" s="1">
        <f t="shared" si="18"/>
        <v>2</v>
      </c>
      <c r="T110" s="1">
        <f t="shared" si="19"/>
        <v>0</v>
      </c>
      <c r="U110" s="1">
        <f t="shared" si="20"/>
        <v>2</v>
      </c>
      <c r="V110" s="1">
        <f t="shared" si="21"/>
        <v>7</v>
      </c>
      <c r="W110" s="1" t="str">
        <f t="shared" si="22"/>
        <v>3B</v>
      </c>
      <c r="X110" t="s">
        <v>39</v>
      </c>
      <c r="Y110" t="s">
        <v>39</v>
      </c>
      <c r="AJ110">
        <f t="shared" si="23"/>
        <v>111</v>
      </c>
      <c r="AK110">
        <f t="shared" si="24"/>
        <v>100</v>
      </c>
      <c r="AL110">
        <f t="shared" si="25"/>
        <v>7</v>
      </c>
      <c r="AM110">
        <f t="shared" si="15"/>
        <v>3</v>
      </c>
      <c r="AN110">
        <f t="shared" si="26"/>
        <v>7</v>
      </c>
      <c r="AO110">
        <f t="shared" si="27"/>
        <v>3</v>
      </c>
      <c r="AP110">
        <f t="shared" si="28"/>
        <v>0</v>
      </c>
      <c r="AQ110">
        <f t="shared" si="16"/>
        <v>0</v>
      </c>
      <c r="AR110">
        <f t="shared" si="29"/>
        <v>0</v>
      </c>
    </row>
    <row r="111" spans="1:44" x14ac:dyDescent="0.25">
      <c r="A111" t="s">
        <v>148</v>
      </c>
      <c r="C111" t="s">
        <v>6</v>
      </c>
      <c r="G111" t="s">
        <v>2</v>
      </c>
      <c r="I111" s="1"/>
      <c r="J111" s="1" t="s">
        <v>6</v>
      </c>
      <c r="K111" s="1"/>
      <c r="L111" s="1"/>
      <c r="M111" s="1" t="b">
        <v>0</v>
      </c>
      <c r="N111" s="1"/>
      <c r="O111">
        <v>0</v>
      </c>
      <c r="P111">
        <v>0</v>
      </c>
      <c r="Q111">
        <v>2</v>
      </c>
      <c r="R111" s="1">
        <f t="shared" si="17"/>
        <v>0</v>
      </c>
      <c r="S111" s="1">
        <f t="shared" si="18"/>
        <v>0</v>
      </c>
      <c r="T111" s="1">
        <f t="shared" si="19"/>
        <v>0</v>
      </c>
      <c r="U111" s="1">
        <f t="shared" si="20"/>
        <v>0</v>
      </c>
      <c r="V111" s="1">
        <f t="shared" si="21"/>
        <v>1</v>
      </c>
      <c r="W111" s="1" t="str">
        <f t="shared" si="22"/>
        <v>Balk</v>
      </c>
      <c r="X111" t="s">
        <v>149</v>
      </c>
      <c r="Y111" t="s">
        <v>149</v>
      </c>
      <c r="AJ111">
        <f t="shared" si="23"/>
        <v>1</v>
      </c>
      <c r="AK111">
        <f t="shared" si="24"/>
        <v>10</v>
      </c>
      <c r="AL111">
        <f t="shared" si="25"/>
        <v>1</v>
      </c>
      <c r="AM111">
        <f t="shared" si="15"/>
        <v>2</v>
      </c>
      <c r="AN111">
        <f t="shared" si="26"/>
        <v>1</v>
      </c>
      <c r="AO111">
        <f t="shared" si="27"/>
        <v>2</v>
      </c>
      <c r="AP111">
        <f t="shared" si="28"/>
        <v>0</v>
      </c>
      <c r="AQ111">
        <f t="shared" si="16"/>
        <v>0</v>
      </c>
      <c r="AR111">
        <f t="shared" si="29"/>
        <v>0</v>
      </c>
    </row>
    <row r="112" spans="1:44" x14ac:dyDescent="0.25">
      <c r="A112" t="s">
        <v>150</v>
      </c>
      <c r="D112" t="s">
        <v>7</v>
      </c>
      <c r="H112" t="s">
        <v>3</v>
      </c>
      <c r="I112" s="1"/>
      <c r="J112" s="1"/>
      <c r="K112" s="1" t="s">
        <v>7</v>
      </c>
      <c r="L112" s="1"/>
      <c r="M112" s="1" t="b">
        <v>0</v>
      </c>
      <c r="N112" s="1"/>
      <c r="O112">
        <v>0</v>
      </c>
      <c r="P112">
        <v>0</v>
      </c>
      <c r="Q112">
        <v>3</v>
      </c>
      <c r="R112" s="1">
        <f t="shared" si="17"/>
        <v>0</v>
      </c>
      <c r="S112" s="1">
        <f t="shared" si="18"/>
        <v>0</v>
      </c>
      <c r="T112" s="1">
        <f t="shared" si="19"/>
        <v>0</v>
      </c>
      <c r="U112" s="1">
        <f t="shared" si="20"/>
        <v>0</v>
      </c>
      <c r="V112" s="1">
        <f t="shared" si="21"/>
        <v>2</v>
      </c>
      <c r="W112" s="1" t="str">
        <f t="shared" si="22"/>
        <v>Balk</v>
      </c>
      <c r="X112" t="s">
        <v>149</v>
      </c>
      <c r="Y112" t="s">
        <v>149</v>
      </c>
      <c r="AJ112">
        <f t="shared" si="23"/>
        <v>10</v>
      </c>
      <c r="AK112">
        <f t="shared" si="24"/>
        <v>100</v>
      </c>
      <c r="AL112">
        <f t="shared" si="25"/>
        <v>2</v>
      </c>
      <c r="AM112">
        <f t="shared" si="15"/>
        <v>3</v>
      </c>
      <c r="AN112">
        <f t="shared" si="26"/>
        <v>2</v>
      </c>
      <c r="AO112">
        <f t="shared" si="27"/>
        <v>3</v>
      </c>
      <c r="AP112">
        <f t="shared" si="28"/>
        <v>0</v>
      </c>
      <c r="AQ112">
        <f t="shared" si="16"/>
        <v>0</v>
      </c>
      <c r="AR112">
        <f t="shared" si="29"/>
        <v>0</v>
      </c>
    </row>
    <row r="113" spans="1:44" x14ac:dyDescent="0.25">
      <c r="A113" t="s">
        <v>151</v>
      </c>
      <c r="E113" t="s">
        <v>43</v>
      </c>
      <c r="I113" s="1"/>
      <c r="J113" s="1"/>
      <c r="K113" s="1"/>
      <c r="L113" s="1" t="s">
        <v>43</v>
      </c>
      <c r="M113" s="1" t="b">
        <v>0</v>
      </c>
      <c r="N113" s="1"/>
      <c r="O113">
        <v>1</v>
      </c>
      <c r="P113">
        <v>0</v>
      </c>
      <c r="Q113">
        <v>0</v>
      </c>
      <c r="R113" s="1">
        <f t="shared" si="17"/>
        <v>1</v>
      </c>
      <c r="S113" s="1">
        <f t="shared" si="18"/>
        <v>0</v>
      </c>
      <c r="T113" s="1">
        <f t="shared" si="19"/>
        <v>0</v>
      </c>
      <c r="U113" s="1">
        <f t="shared" si="20"/>
        <v>0</v>
      </c>
      <c r="V113" s="1">
        <f t="shared" si="21"/>
        <v>3</v>
      </c>
      <c r="W113" s="1" t="str">
        <f t="shared" si="22"/>
        <v>Balk</v>
      </c>
      <c r="X113" t="s">
        <v>149</v>
      </c>
      <c r="Y113" t="s">
        <v>149</v>
      </c>
      <c r="AJ113">
        <f t="shared" si="23"/>
        <v>100</v>
      </c>
      <c r="AK113">
        <f t="shared" si="24"/>
        <v>0</v>
      </c>
      <c r="AL113">
        <f t="shared" si="25"/>
        <v>3</v>
      </c>
      <c r="AM113">
        <f t="shared" si="15"/>
        <v>0</v>
      </c>
      <c r="AN113">
        <f t="shared" si="26"/>
        <v>3</v>
      </c>
      <c r="AO113">
        <f t="shared" si="27"/>
        <v>0</v>
      </c>
      <c r="AP113">
        <f t="shared" si="28"/>
        <v>0</v>
      </c>
      <c r="AQ113">
        <f t="shared" si="16"/>
        <v>0</v>
      </c>
      <c r="AR113">
        <f t="shared" si="29"/>
        <v>0</v>
      </c>
    </row>
    <row r="114" spans="1:44" x14ac:dyDescent="0.25">
      <c r="A114" t="s">
        <v>152</v>
      </c>
      <c r="C114" t="s">
        <v>6</v>
      </c>
      <c r="D114" t="s">
        <v>7</v>
      </c>
      <c r="G114" t="s">
        <v>2</v>
      </c>
      <c r="H114" t="s">
        <v>3</v>
      </c>
      <c r="I114" s="1"/>
      <c r="J114" s="1" t="s">
        <v>6</v>
      </c>
      <c r="K114" s="1" t="s">
        <v>7</v>
      </c>
      <c r="L114" s="1"/>
      <c r="M114" s="1" t="b">
        <v>0</v>
      </c>
      <c r="N114" s="1"/>
      <c r="O114">
        <v>0</v>
      </c>
      <c r="P114">
        <v>0</v>
      </c>
      <c r="Q114">
        <v>6</v>
      </c>
      <c r="R114" s="1">
        <f t="shared" si="17"/>
        <v>0</v>
      </c>
      <c r="S114" s="1">
        <f t="shared" si="18"/>
        <v>0</v>
      </c>
      <c r="T114" s="1">
        <f t="shared" si="19"/>
        <v>0</v>
      </c>
      <c r="U114" s="1">
        <f t="shared" si="20"/>
        <v>0</v>
      </c>
      <c r="V114" s="1">
        <f t="shared" si="21"/>
        <v>4</v>
      </c>
      <c r="W114" s="1" t="str">
        <f t="shared" si="22"/>
        <v>Balk</v>
      </c>
      <c r="X114" t="s">
        <v>149</v>
      </c>
      <c r="Y114" t="s">
        <v>149</v>
      </c>
      <c r="AJ114">
        <f t="shared" si="23"/>
        <v>11</v>
      </c>
      <c r="AK114">
        <f t="shared" si="24"/>
        <v>110</v>
      </c>
      <c r="AL114">
        <f t="shared" si="25"/>
        <v>4</v>
      </c>
      <c r="AM114">
        <f t="shared" si="15"/>
        <v>6</v>
      </c>
      <c r="AN114">
        <f t="shared" si="26"/>
        <v>4</v>
      </c>
      <c r="AO114">
        <f t="shared" si="27"/>
        <v>6</v>
      </c>
      <c r="AP114">
        <f t="shared" si="28"/>
        <v>0</v>
      </c>
      <c r="AQ114">
        <f t="shared" si="16"/>
        <v>0</v>
      </c>
      <c r="AR114">
        <f t="shared" si="29"/>
        <v>0</v>
      </c>
    </row>
    <row r="115" spans="1:44" x14ac:dyDescent="0.25">
      <c r="A115" t="s">
        <v>153</v>
      </c>
      <c r="C115" t="s">
        <v>6</v>
      </c>
      <c r="E115" t="s">
        <v>43</v>
      </c>
      <c r="G115" t="s">
        <v>2</v>
      </c>
      <c r="I115" s="1"/>
      <c r="J115" s="1" t="s">
        <v>6</v>
      </c>
      <c r="K115" s="1"/>
      <c r="L115" s="1" t="s">
        <v>43</v>
      </c>
      <c r="M115" s="1" t="b">
        <v>0</v>
      </c>
      <c r="N115" s="1"/>
      <c r="O115">
        <v>1</v>
      </c>
      <c r="P115">
        <v>0</v>
      </c>
      <c r="Q115">
        <v>2</v>
      </c>
      <c r="R115" s="1">
        <f t="shared" si="17"/>
        <v>1</v>
      </c>
      <c r="S115" s="1">
        <f t="shared" si="18"/>
        <v>0</v>
      </c>
      <c r="T115" s="1">
        <f t="shared" si="19"/>
        <v>0</v>
      </c>
      <c r="U115" s="1">
        <f t="shared" si="20"/>
        <v>0</v>
      </c>
      <c r="V115" s="1">
        <f t="shared" si="21"/>
        <v>5</v>
      </c>
      <c r="W115" s="1" t="str">
        <f t="shared" si="22"/>
        <v>Balk</v>
      </c>
      <c r="X115" t="s">
        <v>149</v>
      </c>
      <c r="Y115" t="s">
        <v>149</v>
      </c>
      <c r="AJ115">
        <f t="shared" si="23"/>
        <v>101</v>
      </c>
      <c r="AK115">
        <f t="shared" si="24"/>
        <v>10</v>
      </c>
      <c r="AL115">
        <f t="shared" si="25"/>
        <v>5</v>
      </c>
      <c r="AM115">
        <f t="shared" si="15"/>
        <v>2</v>
      </c>
      <c r="AN115">
        <f t="shared" si="26"/>
        <v>5</v>
      </c>
      <c r="AO115">
        <f t="shared" si="27"/>
        <v>2</v>
      </c>
      <c r="AP115">
        <f t="shared" si="28"/>
        <v>0</v>
      </c>
      <c r="AQ115">
        <f t="shared" si="16"/>
        <v>0</v>
      </c>
      <c r="AR115">
        <f t="shared" si="29"/>
        <v>0</v>
      </c>
    </row>
    <row r="116" spans="1:44" x14ac:dyDescent="0.25">
      <c r="A116" t="s">
        <v>154</v>
      </c>
      <c r="D116" t="s">
        <v>7</v>
      </c>
      <c r="E116" t="s">
        <v>43</v>
      </c>
      <c r="H116" t="s">
        <v>3</v>
      </c>
      <c r="I116" s="1"/>
      <c r="J116" s="1"/>
      <c r="K116" s="1" t="s">
        <v>7</v>
      </c>
      <c r="L116" s="1" t="s">
        <v>43</v>
      </c>
      <c r="M116" s="1" t="b">
        <v>0</v>
      </c>
      <c r="N116" s="1"/>
      <c r="O116">
        <v>1</v>
      </c>
      <c r="P116">
        <v>0</v>
      </c>
      <c r="Q116">
        <v>3</v>
      </c>
      <c r="R116" s="1">
        <f t="shared" si="17"/>
        <v>1</v>
      </c>
      <c r="S116" s="1">
        <f t="shared" si="18"/>
        <v>0</v>
      </c>
      <c r="T116" s="1">
        <f t="shared" si="19"/>
        <v>0</v>
      </c>
      <c r="U116" s="1">
        <f t="shared" si="20"/>
        <v>0</v>
      </c>
      <c r="V116" s="1">
        <f t="shared" si="21"/>
        <v>6</v>
      </c>
      <c r="W116" s="1" t="str">
        <f t="shared" si="22"/>
        <v>Balk</v>
      </c>
      <c r="X116" t="s">
        <v>149</v>
      </c>
      <c r="Y116" t="s">
        <v>149</v>
      </c>
      <c r="AJ116">
        <f t="shared" si="23"/>
        <v>110</v>
      </c>
      <c r="AK116">
        <f t="shared" si="24"/>
        <v>100</v>
      </c>
      <c r="AL116">
        <f t="shared" si="25"/>
        <v>6</v>
      </c>
      <c r="AM116">
        <f t="shared" si="15"/>
        <v>3</v>
      </c>
      <c r="AN116">
        <f t="shared" si="26"/>
        <v>6</v>
      </c>
      <c r="AO116">
        <f t="shared" si="27"/>
        <v>3</v>
      </c>
      <c r="AP116">
        <f t="shared" si="28"/>
        <v>0</v>
      </c>
      <c r="AQ116">
        <f t="shared" si="16"/>
        <v>0</v>
      </c>
      <c r="AR116">
        <f t="shared" si="29"/>
        <v>0</v>
      </c>
    </row>
    <row r="117" spans="1:44" x14ac:dyDescent="0.25">
      <c r="A117" t="s">
        <v>155</v>
      </c>
      <c r="C117" t="s">
        <v>6</v>
      </c>
      <c r="D117" t="s">
        <v>7</v>
      </c>
      <c r="E117" t="s">
        <v>43</v>
      </c>
      <c r="G117" t="s">
        <v>2</v>
      </c>
      <c r="H117" t="s">
        <v>3</v>
      </c>
      <c r="I117" s="1"/>
      <c r="J117" s="1" t="s">
        <v>6</v>
      </c>
      <c r="K117" s="1" t="s">
        <v>7</v>
      </c>
      <c r="L117" s="1" t="s">
        <v>43</v>
      </c>
      <c r="M117" s="1" t="b">
        <v>0</v>
      </c>
      <c r="N117" s="1"/>
      <c r="O117">
        <v>1</v>
      </c>
      <c r="P117">
        <v>0</v>
      </c>
      <c r="Q117">
        <v>6</v>
      </c>
      <c r="R117" s="1">
        <f t="shared" si="17"/>
        <v>1</v>
      </c>
      <c r="S117" s="1">
        <f t="shared" si="18"/>
        <v>0</v>
      </c>
      <c r="T117" s="1">
        <f t="shared" si="19"/>
        <v>0</v>
      </c>
      <c r="U117" s="1">
        <f t="shared" si="20"/>
        <v>0</v>
      </c>
      <c r="V117" s="1">
        <f t="shared" si="21"/>
        <v>7</v>
      </c>
      <c r="W117" s="1" t="str">
        <f t="shared" si="22"/>
        <v>Balk</v>
      </c>
      <c r="X117" t="s">
        <v>149</v>
      </c>
      <c r="Y117" t="s">
        <v>149</v>
      </c>
      <c r="AJ117">
        <f t="shared" si="23"/>
        <v>111</v>
      </c>
      <c r="AK117">
        <f t="shared" si="24"/>
        <v>110</v>
      </c>
      <c r="AL117">
        <f t="shared" si="25"/>
        <v>7</v>
      </c>
      <c r="AM117">
        <f t="shared" si="15"/>
        <v>6</v>
      </c>
      <c r="AN117">
        <f t="shared" si="26"/>
        <v>7</v>
      </c>
      <c r="AO117">
        <f t="shared" si="27"/>
        <v>6</v>
      </c>
      <c r="AP117">
        <f t="shared" si="28"/>
        <v>0</v>
      </c>
      <c r="AQ117">
        <f t="shared" si="16"/>
        <v>0</v>
      </c>
      <c r="AR117">
        <f t="shared" si="29"/>
        <v>0</v>
      </c>
    </row>
    <row r="118" spans="1:44" x14ac:dyDescent="0.25">
      <c r="A118" t="s">
        <v>156</v>
      </c>
      <c r="C118" t="s">
        <v>6</v>
      </c>
      <c r="G118" t="s">
        <v>2</v>
      </c>
      <c r="I118" s="1"/>
      <c r="J118" s="1" t="s">
        <v>6</v>
      </c>
      <c r="K118" s="1"/>
      <c r="L118" s="1"/>
      <c r="M118" s="1" t="b">
        <v>0</v>
      </c>
      <c r="N118" s="1"/>
      <c r="O118">
        <v>0</v>
      </c>
      <c r="P118">
        <v>1</v>
      </c>
      <c r="Q118">
        <v>2</v>
      </c>
      <c r="R118" s="1">
        <f t="shared" si="17"/>
        <v>0</v>
      </c>
      <c r="S118" s="1">
        <f t="shared" si="18"/>
        <v>1</v>
      </c>
      <c r="T118" s="1">
        <f t="shared" si="19"/>
        <v>0</v>
      </c>
      <c r="U118" s="1">
        <f t="shared" si="20"/>
        <v>1</v>
      </c>
      <c r="V118" s="1">
        <f t="shared" si="21"/>
        <v>1</v>
      </c>
      <c r="W118" s="1" t="str">
        <f t="shared" si="22"/>
        <v>Balk</v>
      </c>
      <c r="X118" t="s">
        <v>149</v>
      </c>
      <c r="Y118" t="s">
        <v>149</v>
      </c>
      <c r="AJ118">
        <f t="shared" si="23"/>
        <v>1</v>
      </c>
      <c r="AK118">
        <f t="shared" si="24"/>
        <v>10</v>
      </c>
      <c r="AL118">
        <f t="shared" si="25"/>
        <v>1</v>
      </c>
      <c r="AM118">
        <f t="shared" si="15"/>
        <v>2</v>
      </c>
      <c r="AN118">
        <f t="shared" si="26"/>
        <v>1</v>
      </c>
      <c r="AO118">
        <f t="shared" si="27"/>
        <v>2</v>
      </c>
      <c r="AP118">
        <f t="shared" si="28"/>
        <v>0</v>
      </c>
      <c r="AQ118">
        <f t="shared" si="16"/>
        <v>0</v>
      </c>
      <c r="AR118">
        <f t="shared" si="29"/>
        <v>0</v>
      </c>
    </row>
    <row r="119" spans="1:44" x14ac:dyDescent="0.25">
      <c r="A119" t="s">
        <v>157</v>
      </c>
      <c r="D119" t="s">
        <v>7</v>
      </c>
      <c r="H119" t="s">
        <v>3</v>
      </c>
      <c r="I119" s="1"/>
      <c r="J119" s="1"/>
      <c r="K119" s="1" t="s">
        <v>7</v>
      </c>
      <c r="L119" s="1"/>
      <c r="M119" s="1" t="b">
        <v>0</v>
      </c>
      <c r="N119" s="1"/>
      <c r="O119">
        <v>0</v>
      </c>
      <c r="P119">
        <v>1</v>
      </c>
      <c r="Q119">
        <v>3</v>
      </c>
      <c r="R119" s="1">
        <f t="shared" si="17"/>
        <v>0</v>
      </c>
      <c r="S119" s="1">
        <f t="shared" si="18"/>
        <v>1</v>
      </c>
      <c r="T119" s="1">
        <f t="shared" si="19"/>
        <v>0</v>
      </c>
      <c r="U119" s="1">
        <f t="shared" si="20"/>
        <v>1</v>
      </c>
      <c r="V119" s="1">
        <f t="shared" si="21"/>
        <v>2</v>
      </c>
      <c r="W119" s="1" t="str">
        <f t="shared" si="22"/>
        <v>Balk</v>
      </c>
      <c r="X119" t="s">
        <v>149</v>
      </c>
      <c r="Y119" t="s">
        <v>149</v>
      </c>
      <c r="AJ119">
        <f t="shared" si="23"/>
        <v>10</v>
      </c>
      <c r="AK119">
        <f t="shared" si="24"/>
        <v>100</v>
      </c>
      <c r="AL119">
        <f t="shared" si="25"/>
        <v>2</v>
      </c>
      <c r="AM119">
        <f t="shared" si="15"/>
        <v>3</v>
      </c>
      <c r="AN119">
        <f t="shared" si="26"/>
        <v>2</v>
      </c>
      <c r="AO119">
        <f t="shared" si="27"/>
        <v>3</v>
      </c>
      <c r="AP119">
        <f t="shared" si="28"/>
        <v>0</v>
      </c>
      <c r="AQ119">
        <f t="shared" si="16"/>
        <v>0</v>
      </c>
      <c r="AR119">
        <f t="shared" si="29"/>
        <v>0</v>
      </c>
    </row>
    <row r="120" spans="1:44" x14ac:dyDescent="0.25">
      <c r="A120" t="s">
        <v>158</v>
      </c>
      <c r="E120" t="s">
        <v>43</v>
      </c>
      <c r="I120" s="1"/>
      <c r="J120" s="1"/>
      <c r="K120" s="1"/>
      <c r="L120" s="1" t="s">
        <v>43</v>
      </c>
      <c r="M120" s="1" t="b">
        <v>0</v>
      </c>
      <c r="N120" s="1"/>
      <c r="O120">
        <v>1</v>
      </c>
      <c r="P120">
        <v>1</v>
      </c>
      <c r="Q120">
        <v>0</v>
      </c>
      <c r="R120" s="1">
        <f t="shared" si="17"/>
        <v>1</v>
      </c>
      <c r="S120" s="1">
        <f t="shared" si="18"/>
        <v>1</v>
      </c>
      <c r="T120" s="1">
        <f t="shared" si="19"/>
        <v>0</v>
      </c>
      <c r="U120" s="1">
        <f t="shared" si="20"/>
        <v>1</v>
      </c>
      <c r="V120" s="1">
        <f t="shared" si="21"/>
        <v>3</v>
      </c>
      <c r="W120" s="1" t="str">
        <f t="shared" si="22"/>
        <v>Balk</v>
      </c>
      <c r="X120" t="s">
        <v>149</v>
      </c>
      <c r="Y120" t="s">
        <v>149</v>
      </c>
      <c r="AJ120">
        <f t="shared" si="23"/>
        <v>100</v>
      </c>
      <c r="AK120">
        <f t="shared" si="24"/>
        <v>0</v>
      </c>
      <c r="AL120">
        <f t="shared" si="25"/>
        <v>3</v>
      </c>
      <c r="AM120">
        <f t="shared" si="15"/>
        <v>0</v>
      </c>
      <c r="AN120">
        <f t="shared" si="26"/>
        <v>3</v>
      </c>
      <c r="AO120">
        <f t="shared" si="27"/>
        <v>0</v>
      </c>
      <c r="AP120">
        <f t="shared" si="28"/>
        <v>0</v>
      </c>
      <c r="AQ120">
        <f t="shared" si="16"/>
        <v>0</v>
      </c>
      <c r="AR120">
        <f t="shared" si="29"/>
        <v>0</v>
      </c>
    </row>
    <row r="121" spans="1:44" x14ac:dyDescent="0.25">
      <c r="A121" t="s">
        <v>159</v>
      </c>
      <c r="C121" t="s">
        <v>6</v>
      </c>
      <c r="D121" t="s">
        <v>7</v>
      </c>
      <c r="G121" t="s">
        <v>2</v>
      </c>
      <c r="H121" t="s">
        <v>3</v>
      </c>
      <c r="I121" s="1"/>
      <c r="J121" s="1" t="s">
        <v>6</v>
      </c>
      <c r="K121" s="1" t="s">
        <v>7</v>
      </c>
      <c r="L121" s="1"/>
      <c r="M121" s="1" t="b">
        <v>0</v>
      </c>
      <c r="N121" s="1"/>
      <c r="O121">
        <v>0</v>
      </c>
      <c r="P121">
        <v>1</v>
      </c>
      <c r="Q121">
        <v>6</v>
      </c>
      <c r="R121" s="1">
        <f t="shared" si="17"/>
        <v>0</v>
      </c>
      <c r="S121" s="1">
        <f t="shared" si="18"/>
        <v>1</v>
      </c>
      <c r="T121" s="1">
        <f t="shared" si="19"/>
        <v>0</v>
      </c>
      <c r="U121" s="1">
        <f t="shared" si="20"/>
        <v>1</v>
      </c>
      <c r="V121" s="1">
        <f t="shared" si="21"/>
        <v>4</v>
      </c>
      <c r="W121" s="1" t="str">
        <f t="shared" si="22"/>
        <v>Balk</v>
      </c>
      <c r="X121" t="s">
        <v>149</v>
      </c>
      <c r="Y121" t="s">
        <v>149</v>
      </c>
      <c r="AJ121">
        <f t="shared" si="23"/>
        <v>11</v>
      </c>
      <c r="AK121">
        <f t="shared" si="24"/>
        <v>110</v>
      </c>
      <c r="AL121">
        <f t="shared" si="25"/>
        <v>4</v>
      </c>
      <c r="AM121">
        <f t="shared" si="15"/>
        <v>6</v>
      </c>
      <c r="AN121">
        <f t="shared" si="26"/>
        <v>4</v>
      </c>
      <c r="AO121">
        <f t="shared" si="27"/>
        <v>6</v>
      </c>
      <c r="AP121">
        <f t="shared" si="28"/>
        <v>0</v>
      </c>
      <c r="AQ121">
        <f t="shared" si="16"/>
        <v>0</v>
      </c>
      <c r="AR121">
        <f t="shared" si="29"/>
        <v>0</v>
      </c>
    </row>
    <row r="122" spans="1:44" x14ac:dyDescent="0.25">
      <c r="A122" t="s">
        <v>160</v>
      </c>
      <c r="C122" t="s">
        <v>6</v>
      </c>
      <c r="E122" t="s">
        <v>43</v>
      </c>
      <c r="G122" t="s">
        <v>2</v>
      </c>
      <c r="I122" s="1"/>
      <c r="J122" s="1" t="s">
        <v>6</v>
      </c>
      <c r="K122" s="1"/>
      <c r="L122" s="1" t="s">
        <v>43</v>
      </c>
      <c r="M122" s="1" t="b">
        <v>0</v>
      </c>
      <c r="N122" s="1"/>
      <c r="O122">
        <v>1</v>
      </c>
      <c r="P122">
        <v>1</v>
      </c>
      <c r="Q122">
        <v>2</v>
      </c>
      <c r="R122" s="1">
        <f t="shared" si="17"/>
        <v>1</v>
      </c>
      <c r="S122" s="1">
        <f t="shared" si="18"/>
        <v>1</v>
      </c>
      <c r="T122" s="1">
        <f t="shared" si="19"/>
        <v>0</v>
      </c>
      <c r="U122" s="1">
        <f t="shared" si="20"/>
        <v>1</v>
      </c>
      <c r="V122" s="1">
        <f t="shared" si="21"/>
        <v>5</v>
      </c>
      <c r="W122" s="1" t="str">
        <f t="shared" si="22"/>
        <v>Balk</v>
      </c>
      <c r="X122" t="s">
        <v>149</v>
      </c>
      <c r="Y122" t="s">
        <v>149</v>
      </c>
      <c r="AJ122">
        <f t="shared" si="23"/>
        <v>101</v>
      </c>
      <c r="AK122">
        <f t="shared" si="24"/>
        <v>10</v>
      </c>
      <c r="AL122">
        <f t="shared" si="25"/>
        <v>5</v>
      </c>
      <c r="AM122">
        <f t="shared" si="15"/>
        <v>2</v>
      </c>
      <c r="AN122">
        <f t="shared" si="26"/>
        <v>5</v>
      </c>
      <c r="AO122">
        <f t="shared" si="27"/>
        <v>2</v>
      </c>
      <c r="AP122">
        <f t="shared" si="28"/>
        <v>0</v>
      </c>
      <c r="AQ122">
        <f t="shared" si="16"/>
        <v>0</v>
      </c>
      <c r="AR122">
        <f t="shared" si="29"/>
        <v>0</v>
      </c>
    </row>
    <row r="123" spans="1:44" x14ac:dyDescent="0.25">
      <c r="A123" t="s">
        <v>161</v>
      </c>
      <c r="D123" t="s">
        <v>7</v>
      </c>
      <c r="E123" t="s">
        <v>43</v>
      </c>
      <c r="H123" t="s">
        <v>3</v>
      </c>
      <c r="I123" s="1"/>
      <c r="J123" s="1"/>
      <c r="K123" s="1" t="s">
        <v>7</v>
      </c>
      <c r="L123" s="1" t="s">
        <v>43</v>
      </c>
      <c r="M123" s="1" t="b">
        <v>0</v>
      </c>
      <c r="N123" s="1"/>
      <c r="O123">
        <v>1</v>
      </c>
      <c r="P123">
        <v>1</v>
      </c>
      <c r="Q123">
        <v>3</v>
      </c>
      <c r="R123" s="1">
        <f t="shared" si="17"/>
        <v>1</v>
      </c>
      <c r="S123" s="1">
        <f t="shared" si="18"/>
        <v>1</v>
      </c>
      <c r="T123" s="1">
        <f t="shared" si="19"/>
        <v>0</v>
      </c>
      <c r="U123" s="1">
        <f t="shared" si="20"/>
        <v>1</v>
      </c>
      <c r="V123" s="1">
        <f t="shared" si="21"/>
        <v>6</v>
      </c>
      <c r="W123" s="1" t="str">
        <f t="shared" si="22"/>
        <v>Balk</v>
      </c>
      <c r="X123" t="s">
        <v>149</v>
      </c>
      <c r="Y123" t="s">
        <v>149</v>
      </c>
      <c r="AJ123">
        <f t="shared" si="23"/>
        <v>110</v>
      </c>
      <c r="AK123">
        <f t="shared" si="24"/>
        <v>100</v>
      </c>
      <c r="AL123">
        <f t="shared" si="25"/>
        <v>6</v>
      </c>
      <c r="AM123">
        <f t="shared" si="15"/>
        <v>3</v>
      </c>
      <c r="AN123">
        <f t="shared" si="26"/>
        <v>6</v>
      </c>
      <c r="AO123">
        <f t="shared" si="27"/>
        <v>3</v>
      </c>
      <c r="AP123">
        <f t="shared" si="28"/>
        <v>0</v>
      </c>
      <c r="AQ123">
        <f t="shared" si="16"/>
        <v>0</v>
      </c>
      <c r="AR123">
        <f t="shared" si="29"/>
        <v>0</v>
      </c>
    </row>
    <row r="124" spans="1:44" x14ac:dyDescent="0.25">
      <c r="A124" t="s">
        <v>162</v>
      </c>
      <c r="C124" t="s">
        <v>6</v>
      </c>
      <c r="D124" t="s">
        <v>7</v>
      </c>
      <c r="E124" t="s">
        <v>43</v>
      </c>
      <c r="G124" t="s">
        <v>2</v>
      </c>
      <c r="H124" t="s">
        <v>3</v>
      </c>
      <c r="I124" s="1"/>
      <c r="J124" s="1" t="s">
        <v>6</v>
      </c>
      <c r="K124" s="1" t="s">
        <v>7</v>
      </c>
      <c r="L124" s="1" t="s">
        <v>43</v>
      </c>
      <c r="M124" s="1" t="b">
        <v>0</v>
      </c>
      <c r="N124" s="1"/>
      <c r="O124">
        <v>1</v>
      </c>
      <c r="P124">
        <v>1</v>
      </c>
      <c r="Q124">
        <v>6</v>
      </c>
      <c r="R124" s="1">
        <f t="shared" si="17"/>
        <v>1</v>
      </c>
      <c r="S124" s="1">
        <f t="shared" si="18"/>
        <v>1</v>
      </c>
      <c r="T124" s="1">
        <f t="shared" si="19"/>
        <v>0</v>
      </c>
      <c r="U124" s="1">
        <f t="shared" si="20"/>
        <v>1</v>
      </c>
      <c r="V124" s="1">
        <f t="shared" si="21"/>
        <v>7</v>
      </c>
      <c r="W124" s="1" t="str">
        <f t="shared" si="22"/>
        <v>Balk</v>
      </c>
      <c r="X124" t="s">
        <v>149</v>
      </c>
      <c r="Y124" t="s">
        <v>149</v>
      </c>
      <c r="AJ124">
        <f t="shared" si="23"/>
        <v>111</v>
      </c>
      <c r="AK124">
        <f t="shared" si="24"/>
        <v>110</v>
      </c>
      <c r="AL124">
        <f t="shared" si="25"/>
        <v>7</v>
      </c>
      <c r="AM124">
        <f t="shared" si="15"/>
        <v>6</v>
      </c>
      <c r="AN124">
        <f t="shared" si="26"/>
        <v>7</v>
      </c>
      <c r="AO124">
        <f t="shared" si="27"/>
        <v>6</v>
      </c>
      <c r="AP124">
        <f t="shared" si="28"/>
        <v>0</v>
      </c>
      <c r="AQ124">
        <f t="shared" si="16"/>
        <v>0</v>
      </c>
      <c r="AR124">
        <f t="shared" si="29"/>
        <v>0</v>
      </c>
    </row>
    <row r="125" spans="1:44" x14ac:dyDescent="0.25">
      <c r="A125" t="s">
        <v>163</v>
      </c>
      <c r="C125" t="s">
        <v>6</v>
      </c>
      <c r="G125" t="s">
        <v>2</v>
      </c>
      <c r="I125" s="1"/>
      <c r="J125" s="1" t="s">
        <v>6</v>
      </c>
      <c r="K125" s="1"/>
      <c r="L125" s="1"/>
      <c r="M125" s="1" t="b">
        <v>0</v>
      </c>
      <c r="N125" s="1"/>
      <c r="O125">
        <v>0</v>
      </c>
      <c r="P125">
        <v>2</v>
      </c>
      <c r="Q125">
        <v>2</v>
      </c>
      <c r="R125" s="1">
        <f t="shared" si="17"/>
        <v>0</v>
      </c>
      <c r="S125" s="1">
        <f t="shared" si="18"/>
        <v>2</v>
      </c>
      <c r="T125" s="1">
        <f t="shared" si="19"/>
        <v>0</v>
      </c>
      <c r="U125" s="1">
        <f t="shared" si="20"/>
        <v>2</v>
      </c>
      <c r="V125" s="1">
        <f t="shared" si="21"/>
        <v>1</v>
      </c>
      <c r="W125" s="1" t="str">
        <f t="shared" si="22"/>
        <v>Balk</v>
      </c>
      <c r="X125" t="s">
        <v>149</v>
      </c>
      <c r="Y125" t="s">
        <v>149</v>
      </c>
      <c r="AJ125">
        <f t="shared" si="23"/>
        <v>1</v>
      </c>
      <c r="AK125">
        <f t="shared" si="24"/>
        <v>10</v>
      </c>
      <c r="AL125">
        <f t="shared" si="25"/>
        <v>1</v>
      </c>
      <c r="AM125">
        <f t="shared" si="15"/>
        <v>2</v>
      </c>
      <c r="AN125">
        <f t="shared" si="26"/>
        <v>1</v>
      </c>
      <c r="AO125">
        <f t="shared" si="27"/>
        <v>2</v>
      </c>
      <c r="AP125">
        <f t="shared" si="28"/>
        <v>0</v>
      </c>
      <c r="AQ125">
        <f t="shared" si="16"/>
        <v>0</v>
      </c>
      <c r="AR125">
        <f t="shared" si="29"/>
        <v>0</v>
      </c>
    </row>
    <row r="126" spans="1:44" x14ac:dyDescent="0.25">
      <c r="A126" t="s">
        <v>164</v>
      </c>
      <c r="D126" t="s">
        <v>7</v>
      </c>
      <c r="H126" t="s">
        <v>3</v>
      </c>
      <c r="I126" s="1"/>
      <c r="J126" s="1"/>
      <c r="K126" s="1" t="s">
        <v>7</v>
      </c>
      <c r="L126" s="1"/>
      <c r="M126" s="1" t="b">
        <v>0</v>
      </c>
      <c r="N126" s="1"/>
      <c r="O126">
        <v>0</v>
      </c>
      <c r="P126">
        <v>2</v>
      </c>
      <c r="Q126">
        <v>3</v>
      </c>
      <c r="R126" s="1">
        <f t="shared" si="17"/>
        <v>0</v>
      </c>
      <c r="S126" s="1">
        <f t="shared" si="18"/>
        <v>2</v>
      </c>
      <c r="T126" s="1">
        <f t="shared" si="19"/>
        <v>0</v>
      </c>
      <c r="U126" s="1">
        <f t="shared" si="20"/>
        <v>2</v>
      </c>
      <c r="V126" s="1">
        <f t="shared" si="21"/>
        <v>2</v>
      </c>
      <c r="W126" s="1" t="str">
        <f t="shared" si="22"/>
        <v>Balk</v>
      </c>
      <c r="X126" t="s">
        <v>149</v>
      </c>
      <c r="Y126" t="s">
        <v>149</v>
      </c>
      <c r="AJ126">
        <f t="shared" si="23"/>
        <v>10</v>
      </c>
      <c r="AK126">
        <f t="shared" si="24"/>
        <v>100</v>
      </c>
      <c r="AL126">
        <f t="shared" si="25"/>
        <v>2</v>
      </c>
      <c r="AM126">
        <f t="shared" si="15"/>
        <v>3</v>
      </c>
      <c r="AN126">
        <f t="shared" si="26"/>
        <v>2</v>
      </c>
      <c r="AO126">
        <f t="shared" si="27"/>
        <v>3</v>
      </c>
      <c r="AP126">
        <f t="shared" si="28"/>
        <v>0</v>
      </c>
      <c r="AQ126">
        <f t="shared" si="16"/>
        <v>0</v>
      </c>
      <c r="AR126">
        <f t="shared" si="29"/>
        <v>0</v>
      </c>
    </row>
    <row r="127" spans="1:44" x14ac:dyDescent="0.25">
      <c r="A127" t="s">
        <v>165</v>
      </c>
      <c r="E127" t="s">
        <v>43</v>
      </c>
      <c r="I127" s="1"/>
      <c r="J127" s="1"/>
      <c r="K127" s="1"/>
      <c r="L127" s="1" t="s">
        <v>43</v>
      </c>
      <c r="M127" s="1" t="b">
        <v>0</v>
      </c>
      <c r="N127" s="1"/>
      <c r="O127">
        <v>1</v>
      </c>
      <c r="P127">
        <v>2</v>
      </c>
      <c r="Q127">
        <v>0</v>
      </c>
      <c r="R127" s="1">
        <f t="shared" si="17"/>
        <v>1</v>
      </c>
      <c r="S127" s="1">
        <f t="shared" si="18"/>
        <v>2</v>
      </c>
      <c r="T127" s="1">
        <f t="shared" si="19"/>
        <v>0</v>
      </c>
      <c r="U127" s="1">
        <f t="shared" si="20"/>
        <v>2</v>
      </c>
      <c r="V127" s="1">
        <f t="shared" si="21"/>
        <v>3</v>
      </c>
      <c r="W127" s="1" t="str">
        <f t="shared" si="22"/>
        <v>Balk</v>
      </c>
      <c r="X127" t="s">
        <v>149</v>
      </c>
      <c r="Y127" t="s">
        <v>149</v>
      </c>
      <c r="AJ127">
        <f t="shared" si="23"/>
        <v>100</v>
      </c>
      <c r="AK127">
        <f t="shared" si="24"/>
        <v>0</v>
      </c>
      <c r="AL127">
        <f t="shared" si="25"/>
        <v>3</v>
      </c>
      <c r="AM127">
        <f t="shared" si="15"/>
        <v>0</v>
      </c>
      <c r="AN127">
        <f t="shared" si="26"/>
        <v>3</v>
      </c>
      <c r="AO127">
        <f t="shared" si="27"/>
        <v>0</v>
      </c>
      <c r="AP127">
        <f t="shared" si="28"/>
        <v>0</v>
      </c>
      <c r="AQ127">
        <f t="shared" si="16"/>
        <v>0</v>
      </c>
      <c r="AR127">
        <f t="shared" si="29"/>
        <v>0</v>
      </c>
    </row>
    <row r="128" spans="1:44" x14ac:dyDescent="0.25">
      <c r="A128" t="s">
        <v>166</v>
      </c>
      <c r="C128" t="s">
        <v>6</v>
      </c>
      <c r="D128" t="s">
        <v>7</v>
      </c>
      <c r="G128" t="s">
        <v>2</v>
      </c>
      <c r="H128" t="s">
        <v>3</v>
      </c>
      <c r="I128" s="1"/>
      <c r="J128" s="1" t="s">
        <v>6</v>
      </c>
      <c r="K128" s="1" t="s">
        <v>7</v>
      </c>
      <c r="L128" s="1"/>
      <c r="M128" s="1" t="b">
        <v>0</v>
      </c>
      <c r="N128" s="1"/>
      <c r="O128">
        <v>0</v>
      </c>
      <c r="P128">
        <v>2</v>
      </c>
      <c r="Q128">
        <v>6</v>
      </c>
      <c r="R128" s="1">
        <f t="shared" si="17"/>
        <v>0</v>
      </c>
      <c r="S128" s="1">
        <f t="shared" si="18"/>
        <v>2</v>
      </c>
      <c r="T128" s="1">
        <f t="shared" si="19"/>
        <v>0</v>
      </c>
      <c r="U128" s="1">
        <f t="shared" si="20"/>
        <v>2</v>
      </c>
      <c r="V128" s="1">
        <f t="shared" si="21"/>
        <v>4</v>
      </c>
      <c r="W128" s="1" t="str">
        <f t="shared" si="22"/>
        <v>Balk</v>
      </c>
      <c r="X128" t="s">
        <v>149</v>
      </c>
      <c r="Y128" t="s">
        <v>149</v>
      </c>
      <c r="AJ128">
        <f t="shared" si="23"/>
        <v>11</v>
      </c>
      <c r="AK128">
        <f t="shared" si="24"/>
        <v>110</v>
      </c>
      <c r="AL128">
        <f t="shared" si="25"/>
        <v>4</v>
      </c>
      <c r="AM128">
        <f t="shared" si="15"/>
        <v>6</v>
      </c>
      <c r="AN128">
        <f t="shared" si="26"/>
        <v>4</v>
      </c>
      <c r="AO128">
        <f t="shared" si="27"/>
        <v>6</v>
      </c>
      <c r="AP128">
        <f t="shared" si="28"/>
        <v>0</v>
      </c>
      <c r="AQ128">
        <f t="shared" si="16"/>
        <v>0</v>
      </c>
      <c r="AR128">
        <f t="shared" si="29"/>
        <v>0</v>
      </c>
    </row>
    <row r="129" spans="1:44" x14ac:dyDescent="0.25">
      <c r="A129" t="s">
        <v>167</v>
      </c>
      <c r="C129" t="s">
        <v>6</v>
      </c>
      <c r="E129" t="s">
        <v>43</v>
      </c>
      <c r="G129" t="s">
        <v>2</v>
      </c>
      <c r="I129" s="1"/>
      <c r="J129" s="1" t="s">
        <v>6</v>
      </c>
      <c r="K129" s="1"/>
      <c r="L129" s="1" t="s">
        <v>43</v>
      </c>
      <c r="M129" s="1" t="b">
        <v>0</v>
      </c>
      <c r="N129" s="1"/>
      <c r="O129">
        <v>1</v>
      </c>
      <c r="P129">
        <v>2</v>
      </c>
      <c r="Q129">
        <v>2</v>
      </c>
      <c r="R129" s="1">
        <f t="shared" si="17"/>
        <v>1</v>
      </c>
      <c r="S129" s="1">
        <f t="shared" si="18"/>
        <v>2</v>
      </c>
      <c r="T129" s="1">
        <f t="shared" si="19"/>
        <v>0</v>
      </c>
      <c r="U129" s="1">
        <f t="shared" si="20"/>
        <v>2</v>
      </c>
      <c r="V129" s="1">
        <f t="shared" si="21"/>
        <v>5</v>
      </c>
      <c r="W129" s="1" t="str">
        <f t="shared" si="22"/>
        <v>Balk</v>
      </c>
      <c r="X129" t="s">
        <v>149</v>
      </c>
      <c r="Y129" t="s">
        <v>149</v>
      </c>
      <c r="AJ129">
        <f t="shared" si="23"/>
        <v>101</v>
      </c>
      <c r="AK129">
        <f t="shared" si="24"/>
        <v>10</v>
      </c>
      <c r="AL129">
        <f t="shared" si="25"/>
        <v>5</v>
      </c>
      <c r="AM129">
        <f t="shared" si="15"/>
        <v>2</v>
      </c>
      <c r="AN129">
        <f t="shared" si="26"/>
        <v>5</v>
      </c>
      <c r="AO129">
        <f t="shared" si="27"/>
        <v>2</v>
      </c>
      <c r="AP129">
        <f t="shared" si="28"/>
        <v>0</v>
      </c>
      <c r="AQ129">
        <f t="shared" si="16"/>
        <v>0</v>
      </c>
      <c r="AR129">
        <f t="shared" si="29"/>
        <v>0</v>
      </c>
    </row>
    <row r="130" spans="1:44" x14ac:dyDescent="0.25">
      <c r="A130" t="s">
        <v>168</v>
      </c>
      <c r="D130" t="s">
        <v>7</v>
      </c>
      <c r="E130" t="s">
        <v>43</v>
      </c>
      <c r="H130" t="s">
        <v>3</v>
      </c>
      <c r="I130" s="1"/>
      <c r="J130" s="1"/>
      <c r="K130" s="1" t="s">
        <v>7</v>
      </c>
      <c r="L130" s="1" t="s">
        <v>43</v>
      </c>
      <c r="M130" s="1" t="b">
        <v>0</v>
      </c>
      <c r="N130" s="1"/>
      <c r="O130">
        <v>1</v>
      </c>
      <c r="P130">
        <v>2</v>
      </c>
      <c r="Q130">
        <v>3</v>
      </c>
      <c r="R130" s="1">
        <f t="shared" si="17"/>
        <v>1</v>
      </c>
      <c r="S130" s="1">
        <f t="shared" si="18"/>
        <v>2</v>
      </c>
      <c r="T130" s="1">
        <f t="shared" si="19"/>
        <v>0</v>
      </c>
      <c r="U130" s="1">
        <f t="shared" si="20"/>
        <v>2</v>
      </c>
      <c r="V130" s="1">
        <f t="shared" si="21"/>
        <v>6</v>
      </c>
      <c r="W130" s="1" t="str">
        <f t="shared" si="22"/>
        <v>Balk</v>
      </c>
      <c r="X130" t="s">
        <v>149</v>
      </c>
      <c r="Y130" t="s">
        <v>149</v>
      </c>
      <c r="AJ130">
        <f t="shared" si="23"/>
        <v>110</v>
      </c>
      <c r="AK130">
        <f t="shared" si="24"/>
        <v>100</v>
      </c>
      <c r="AL130">
        <f t="shared" si="25"/>
        <v>6</v>
      </c>
      <c r="AM130">
        <f t="shared" si="15"/>
        <v>3</v>
      </c>
      <c r="AN130">
        <f t="shared" si="26"/>
        <v>6</v>
      </c>
      <c r="AO130">
        <f t="shared" si="27"/>
        <v>3</v>
      </c>
      <c r="AP130">
        <f t="shared" si="28"/>
        <v>0</v>
      </c>
      <c r="AQ130">
        <f t="shared" si="16"/>
        <v>0</v>
      </c>
      <c r="AR130">
        <f t="shared" si="29"/>
        <v>0</v>
      </c>
    </row>
    <row r="131" spans="1:44" x14ac:dyDescent="0.25">
      <c r="A131" t="s">
        <v>169</v>
      </c>
      <c r="C131" t="s">
        <v>6</v>
      </c>
      <c r="D131" t="s">
        <v>7</v>
      </c>
      <c r="E131" t="s">
        <v>43</v>
      </c>
      <c r="G131" t="s">
        <v>2</v>
      </c>
      <c r="H131" t="s">
        <v>3</v>
      </c>
      <c r="I131" s="1"/>
      <c r="J131" s="1" t="s">
        <v>6</v>
      </c>
      <c r="K131" s="1" t="s">
        <v>7</v>
      </c>
      <c r="L131" s="1" t="s">
        <v>43</v>
      </c>
      <c r="M131" s="1" t="b">
        <v>0</v>
      </c>
      <c r="N131" s="1"/>
      <c r="O131">
        <v>1</v>
      </c>
      <c r="P131">
        <v>2</v>
      </c>
      <c r="Q131">
        <v>6</v>
      </c>
      <c r="R131" s="1">
        <f t="shared" si="17"/>
        <v>1</v>
      </c>
      <c r="S131" s="1">
        <f t="shared" si="18"/>
        <v>2</v>
      </c>
      <c r="T131" s="1">
        <f t="shared" si="19"/>
        <v>0</v>
      </c>
      <c r="U131" s="1">
        <f t="shared" si="20"/>
        <v>2</v>
      </c>
      <c r="V131" s="1">
        <f t="shared" si="21"/>
        <v>7</v>
      </c>
      <c r="W131" s="1" t="str">
        <f t="shared" si="22"/>
        <v>Balk</v>
      </c>
      <c r="X131" t="s">
        <v>149</v>
      </c>
      <c r="Y131" t="s">
        <v>149</v>
      </c>
      <c r="AJ131">
        <f t="shared" si="23"/>
        <v>111</v>
      </c>
      <c r="AK131">
        <f t="shared" si="24"/>
        <v>110</v>
      </c>
      <c r="AL131">
        <f t="shared" si="25"/>
        <v>7</v>
      </c>
      <c r="AM131">
        <f t="shared" ref="AM131:AM194" si="30">INDEX($AU$3:$AU$10,MATCH(AK131,$AT$3:$AT$10,0))</f>
        <v>6</v>
      </c>
      <c r="AN131">
        <f t="shared" si="26"/>
        <v>7</v>
      </c>
      <c r="AO131">
        <f t="shared" si="27"/>
        <v>6</v>
      </c>
      <c r="AP131">
        <f t="shared" si="28"/>
        <v>0</v>
      </c>
      <c r="AQ131">
        <f t="shared" ref="AQ131:AQ194" si="31">N(AM131&lt;&gt;AO131)</f>
        <v>0</v>
      </c>
      <c r="AR131">
        <f t="shared" si="29"/>
        <v>0</v>
      </c>
    </row>
    <row r="132" spans="1:44" x14ac:dyDescent="0.25">
      <c r="A132" t="s">
        <v>170</v>
      </c>
      <c r="B132">
        <v>0</v>
      </c>
      <c r="I132" s="1">
        <v>0</v>
      </c>
      <c r="J132" s="1"/>
      <c r="K132" s="1"/>
      <c r="L132" s="1"/>
      <c r="M132" s="1" t="b">
        <v>0</v>
      </c>
      <c r="N132" s="1"/>
      <c r="O132">
        <v>0</v>
      </c>
      <c r="P132">
        <v>1</v>
      </c>
      <c r="Q132">
        <v>0</v>
      </c>
      <c r="R132" s="1">
        <f t="shared" ref="R132:R195" si="32">COUNTIF(B132:E132,"b4")</f>
        <v>0</v>
      </c>
      <c r="S132" s="1">
        <f t="shared" ref="S132:S195" si="33">VALUE(LEFT(A132,1))</f>
        <v>0</v>
      </c>
      <c r="T132" s="1">
        <f t="shared" ref="T132:T195" si="34">COUNTIF(B132:E132,0)</f>
        <v>1</v>
      </c>
      <c r="U132" s="1">
        <f t="shared" ref="U132:U195" si="35">S132+T132</f>
        <v>1</v>
      </c>
      <c r="V132" s="1">
        <f t="shared" ref="V132:V195" si="36">VALUE(_xlfn.TEXTBEFORE(_xlfn.TEXTAFTER(A132,"_"),"_"))</f>
        <v>0</v>
      </c>
      <c r="W132" s="1" t="str">
        <f t="shared" ref="W132:W195" si="37">_xlfn.TEXTAFTER(A132,"_",-1)</f>
        <v>bAuto</v>
      </c>
      <c r="X132" t="s">
        <v>39</v>
      </c>
      <c r="Y132" t="s">
        <v>149</v>
      </c>
      <c r="AJ132">
        <f t="shared" ref="AJ132:AJ195" si="38">VALUE(IF(E132&lt;&gt;"","1","0")&amp;IF(D132&lt;&gt;"","1","0")&amp;IF(C132&lt;&gt;"","1","0"))</f>
        <v>0</v>
      </c>
      <c r="AK132">
        <f t="shared" ref="AK132:AK195" si="39">VALUE(IF(H132&lt;&gt;"","1","0")&amp;IF(G132&lt;&gt;"","1","0")&amp;IF(F132&lt;&gt;"","1","0"))</f>
        <v>0</v>
      </c>
      <c r="AL132">
        <f t="shared" ref="AL132:AL195" si="40">INDEX($AU$3:$AU$10,MATCH(AJ132,$AT$3:$AT$10,0))</f>
        <v>0</v>
      </c>
      <c r="AM132">
        <f t="shared" si="30"/>
        <v>0</v>
      </c>
      <c r="AN132">
        <f t="shared" ref="AN132:AN195" si="41">VALUE(_xlfn.TEXTBEFORE(_xlfn.TEXTAFTER(A132,"_"),"_"))</f>
        <v>0</v>
      </c>
      <c r="AO132">
        <f t="shared" ref="AO132:AO195" si="42">Q132</f>
        <v>0</v>
      </c>
      <c r="AP132">
        <f t="shared" ref="AP132:AP195" si="43">N(AL132&lt;&gt;AN132)</f>
        <v>0</v>
      </c>
      <c r="AQ132">
        <f t="shared" si="31"/>
        <v>0</v>
      </c>
      <c r="AR132">
        <f t="shared" ref="AR132:AR195" si="44">N(OR(AP132,AQ132))</f>
        <v>0</v>
      </c>
    </row>
    <row r="133" spans="1:44" x14ac:dyDescent="0.25">
      <c r="A133" t="s">
        <v>171</v>
      </c>
      <c r="B133">
        <v>0</v>
      </c>
      <c r="C133" t="s">
        <v>5</v>
      </c>
      <c r="F133" t="s">
        <v>2</v>
      </c>
      <c r="I133" s="1">
        <v>0</v>
      </c>
      <c r="J133" s="1" t="s">
        <v>5</v>
      </c>
      <c r="K133" s="1"/>
      <c r="L133" s="1"/>
      <c r="M133" s="1" t="b">
        <v>0</v>
      </c>
      <c r="N133" s="1"/>
      <c r="O133">
        <v>0</v>
      </c>
      <c r="P133">
        <v>1</v>
      </c>
      <c r="Q133">
        <v>1</v>
      </c>
      <c r="R133" s="1">
        <f t="shared" si="32"/>
        <v>0</v>
      </c>
      <c r="S133" s="1">
        <f t="shared" si="33"/>
        <v>0</v>
      </c>
      <c r="T133" s="1">
        <f t="shared" si="34"/>
        <v>1</v>
      </c>
      <c r="U133" s="1">
        <f t="shared" si="35"/>
        <v>1</v>
      </c>
      <c r="V133" s="1">
        <f t="shared" si="36"/>
        <v>1</v>
      </c>
      <c r="W133" s="1" t="str">
        <f t="shared" si="37"/>
        <v>bAuto</v>
      </c>
      <c r="X133" t="s">
        <v>39</v>
      </c>
      <c r="Y133" t="s">
        <v>149</v>
      </c>
      <c r="AJ133">
        <f t="shared" si="38"/>
        <v>1</v>
      </c>
      <c r="AK133">
        <f t="shared" si="39"/>
        <v>1</v>
      </c>
      <c r="AL133">
        <f t="shared" si="40"/>
        <v>1</v>
      </c>
      <c r="AM133">
        <f t="shared" si="30"/>
        <v>1</v>
      </c>
      <c r="AN133">
        <f t="shared" si="41"/>
        <v>1</v>
      </c>
      <c r="AO133">
        <f t="shared" si="42"/>
        <v>1</v>
      </c>
      <c r="AP133">
        <f t="shared" si="43"/>
        <v>0</v>
      </c>
      <c r="AQ133">
        <f t="shared" si="31"/>
        <v>0</v>
      </c>
      <c r="AR133">
        <f t="shared" si="44"/>
        <v>0</v>
      </c>
    </row>
    <row r="134" spans="1:44" x14ac:dyDescent="0.25">
      <c r="A134" t="s">
        <v>172</v>
      </c>
      <c r="B134">
        <v>0</v>
      </c>
      <c r="D134" t="s">
        <v>6</v>
      </c>
      <c r="G134" t="s">
        <v>3</v>
      </c>
      <c r="I134" s="1">
        <v>0</v>
      </c>
      <c r="J134" s="1"/>
      <c r="K134" s="1" t="s">
        <v>6</v>
      </c>
      <c r="L134" s="1"/>
      <c r="M134" s="1" t="b">
        <v>0</v>
      </c>
      <c r="N134" s="1"/>
      <c r="O134">
        <v>0</v>
      </c>
      <c r="P134">
        <v>1</v>
      </c>
      <c r="Q134">
        <v>2</v>
      </c>
      <c r="R134" s="1">
        <f t="shared" si="32"/>
        <v>0</v>
      </c>
      <c r="S134" s="1">
        <f t="shared" si="33"/>
        <v>0</v>
      </c>
      <c r="T134" s="1">
        <f t="shared" si="34"/>
        <v>1</v>
      </c>
      <c r="U134" s="1">
        <f t="shared" si="35"/>
        <v>1</v>
      </c>
      <c r="V134" s="1">
        <f t="shared" si="36"/>
        <v>2</v>
      </c>
      <c r="W134" s="1" t="str">
        <f t="shared" si="37"/>
        <v>bAuto</v>
      </c>
      <c r="X134" t="s">
        <v>39</v>
      </c>
      <c r="Y134" t="s">
        <v>149</v>
      </c>
      <c r="AJ134">
        <f t="shared" si="38"/>
        <v>10</v>
      </c>
      <c r="AK134">
        <f t="shared" si="39"/>
        <v>10</v>
      </c>
      <c r="AL134">
        <f t="shared" si="40"/>
        <v>2</v>
      </c>
      <c r="AM134">
        <f t="shared" si="30"/>
        <v>2</v>
      </c>
      <c r="AN134">
        <f t="shared" si="41"/>
        <v>2</v>
      </c>
      <c r="AO134">
        <f t="shared" si="42"/>
        <v>2</v>
      </c>
      <c r="AP134">
        <f t="shared" si="43"/>
        <v>0</v>
      </c>
      <c r="AQ134">
        <f t="shared" si="31"/>
        <v>0</v>
      </c>
      <c r="AR134">
        <f t="shared" si="44"/>
        <v>0</v>
      </c>
    </row>
    <row r="135" spans="1:44" x14ac:dyDescent="0.25">
      <c r="A135" t="s">
        <v>173</v>
      </c>
      <c r="B135">
        <v>0</v>
      </c>
      <c r="E135" t="s">
        <v>7</v>
      </c>
      <c r="H135" t="s">
        <v>4</v>
      </c>
      <c r="I135" s="1">
        <v>0</v>
      </c>
      <c r="J135" s="1"/>
      <c r="K135" s="1"/>
      <c r="L135" s="1" t="s">
        <v>7</v>
      </c>
      <c r="M135" s="1" t="b">
        <v>0</v>
      </c>
      <c r="N135" s="1"/>
      <c r="O135">
        <v>0</v>
      </c>
      <c r="P135">
        <v>1</v>
      </c>
      <c r="Q135">
        <v>3</v>
      </c>
      <c r="R135" s="1">
        <f t="shared" si="32"/>
        <v>0</v>
      </c>
      <c r="S135" s="1">
        <f t="shared" si="33"/>
        <v>0</v>
      </c>
      <c r="T135" s="1">
        <f t="shared" si="34"/>
        <v>1</v>
      </c>
      <c r="U135" s="1">
        <f t="shared" si="35"/>
        <v>1</v>
      </c>
      <c r="V135" s="1">
        <f t="shared" si="36"/>
        <v>3</v>
      </c>
      <c r="W135" s="1" t="str">
        <f t="shared" si="37"/>
        <v>bAuto</v>
      </c>
      <c r="X135" t="s">
        <v>39</v>
      </c>
      <c r="Y135" t="s">
        <v>149</v>
      </c>
      <c r="AJ135">
        <f t="shared" si="38"/>
        <v>100</v>
      </c>
      <c r="AK135">
        <f t="shared" si="39"/>
        <v>100</v>
      </c>
      <c r="AL135">
        <f t="shared" si="40"/>
        <v>3</v>
      </c>
      <c r="AM135">
        <f t="shared" si="30"/>
        <v>3</v>
      </c>
      <c r="AN135">
        <f t="shared" si="41"/>
        <v>3</v>
      </c>
      <c r="AO135">
        <f t="shared" si="42"/>
        <v>3</v>
      </c>
      <c r="AP135">
        <f t="shared" si="43"/>
        <v>0</v>
      </c>
      <c r="AQ135">
        <f t="shared" si="31"/>
        <v>0</v>
      </c>
      <c r="AR135">
        <f t="shared" si="44"/>
        <v>0</v>
      </c>
    </row>
    <row r="136" spans="1:44" x14ac:dyDescent="0.25">
      <c r="A136" t="s">
        <v>174</v>
      </c>
      <c r="B136">
        <v>0</v>
      </c>
      <c r="C136" t="s">
        <v>5</v>
      </c>
      <c r="D136" t="s">
        <v>6</v>
      </c>
      <c r="F136" t="s">
        <v>2</v>
      </c>
      <c r="G136" t="s">
        <v>3</v>
      </c>
      <c r="I136" s="1">
        <v>0</v>
      </c>
      <c r="J136" s="1" t="s">
        <v>5</v>
      </c>
      <c r="K136" s="1" t="s">
        <v>6</v>
      </c>
      <c r="L136" s="1"/>
      <c r="M136" s="1" t="b">
        <v>0</v>
      </c>
      <c r="N136" s="1"/>
      <c r="O136">
        <v>0</v>
      </c>
      <c r="P136">
        <v>1</v>
      </c>
      <c r="Q136">
        <v>4</v>
      </c>
      <c r="R136" s="1">
        <f t="shared" si="32"/>
        <v>0</v>
      </c>
      <c r="S136" s="1">
        <f t="shared" si="33"/>
        <v>0</v>
      </c>
      <c r="T136" s="1">
        <f t="shared" si="34"/>
        <v>1</v>
      </c>
      <c r="U136" s="1">
        <f t="shared" si="35"/>
        <v>1</v>
      </c>
      <c r="V136" s="1">
        <f t="shared" si="36"/>
        <v>4</v>
      </c>
      <c r="W136" s="1" t="str">
        <f t="shared" si="37"/>
        <v>bAuto</v>
      </c>
      <c r="X136" t="s">
        <v>39</v>
      </c>
      <c r="Y136" t="s">
        <v>149</v>
      </c>
      <c r="AJ136">
        <f t="shared" si="38"/>
        <v>11</v>
      </c>
      <c r="AK136">
        <f t="shared" si="39"/>
        <v>11</v>
      </c>
      <c r="AL136">
        <f t="shared" si="40"/>
        <v>4</v>
      </c>
      <c r="AM136">
        <f t="shared" si="30"/>
        <v>4</v>
      </c>
      <c r="AN136">
        <f t="shared" si="41"/>
        <v>4</v>
      </c>
      <c r="AO136">
        <f t="shared" si="42"/>
        <v>4</v>
      </c>
      <c r="AP136">
        <f t="shared" si="43"/>
        <v>0</v>
      </c>
      <c r="AQ136">
        <f t="shared" si="31"/>
        <v>0</v>
      </c>
      <c r="AR136">
        <f t="shared" si="44"/>
        <v>0</v>
      </c>
    </row>
    <row r="137" spans="1:44" x14ac:dyDescent="0.25">
      <c r="A137" t="s">
        <v>175</v>
      </c>
      <c r="B137">
        <v>0</v>
      </c>
      <c r="C137" t="s">
        <v>5</v>
      </c>
      <c r="E137" t="s">
        <v>7</v>
      </c>
      <c r="F137" t="s">
        <v>2</v>
      </c>
      <c r="H137" t="s">
        <v>4</v>
      </c>
      <c r="I137" s="1">
        <v>0</v>
      </c>
      <c r="J137" s="1" t="s">
        <v>5</v>
      </c>
      <c r="K137" s="1"/>
      <c r="L137" s="1" t="s">
        <v>7</v>
      </c>
      <c r="M137" s="1" t="b">
        <v>0</v>
      </c>
      <c r="N137" s="1"/>
      <c r="O137">
        <v>0</v>
      </c>
      <c r="P137">
        <v>1</v>
      </c>
      <c r="Q137">
        <v>5</v>
      </c>
      <c r="R137" s="1">
        <f t="shared" si="32"/>
        <v>0</v>
      </c>
      <c r="S137" s="1">
        <f t="shared" si="33"/>
        <v>0</v>
      </c>
      <c r="T137" s="1">
        <f t="shared" si="34"/>
        <v>1</v>
      </c>
      <c r="U137" s="1">
        <f t="shared" si="35"/>
        <v>1</v>
      </c>
      <c r="V137" s="1">
        <f t="shared" si="36"/>
        <v>5</v>
      </c>
      <c r="W137" s="1" t="str">
        <f t="shared" si="37"/>
        <v>bAuto</v>
      </c>
      <c r="X137" t="s">
        <v>39</v>
      </c>
      <c r="Y137" t="s">
        <v>149</v>
      </c>
      <c r="AJ137">
        <f t="shared" si="38"/>
        <v>101</v>
      </c>
      <c r="AK137">
        <f t="shared" si="39"/>
        <v>101</v>
      </c>
      <c r="AL137">
        <f t="shared" si="40"/>
        <v>5</v>
      </c>
      <c r="AM137">
        <f t="shared" si="30"/>
        <v>5</v>
      </c>
      <c r="AN137">
        <f t="shared" si="41"/>
        <v>5</v>
      </c>
      <c r="AO137">
        <f t="shared" si="42"/>
        <v>5</v>
      </c>
      <c r="AP137">
        <f t="shared" si="43"/>
        <v>0</v>
      </c>
      <c r="AQ137">
        <f t="shared" si="31"/>
        <v>0</v>
      </c>
      <c r="AR137">
        <f t="shared" si="44"/>
        <v>0</v>
      </c>
    </row>
    <row r="138" spans="1:44" x14ac:dyDescent="0.25">
      <c r="A138" t="s">
        <v>176</v>
      </c>
      <c r="B138">
        <v>0</v>
      </c>
      <c r="D138" t="s">
        <v>6</v>
      </c>
      <c r="E138" t="s">
        <v>7</v>
      </c>
      <c r="G138" t="s">
        <v>3</v>
      </c>
      <c r="H138" t="s">
        <v>4</v>
      </c>
      <c r="I138" s="1">
        <v>0</v>
      </c>
      <c r="J138" s="1"/>
      <c r="K138" s="1" t="s">
        <v>6</v>
      </c>
      <c r="L138" s="1" t="s">
        <v>7</v>
      </c>
      <c r="M138" s="1" t="b">
        <v>0</v>
      </c>
      <c r="N138" s="1"/>
      <c r="O138">
        <v>0</v>
      </c>
      <c r="P138">
        <v>1</v>
      </c>
      <c r="Q138">
        <v>6</v>
      </c>
      <c r="R138" s="1">
        <f t="shared" si="32"/>
        <v>0</v>
      </c>
      <c r="S138" s="1">
        <f t="shared" si="33"/>
        <v>0</v>
      </c>
      <c r="T138" s="1">
        <f t="shared" si="34"/>
        <v>1</v>
      </c>
      <c r="U138" s="1">
        <f t="shared" si="35"/>
        <v>1</v>
      </c>
      <c r="V138" s="1">
        <f t="shared" si="36"/>
        <v>6</v>
      </c>
      <c r="W138" s="1" t="str">
        <f t="shared" si="37"/>
        <v>bAuto</v>
      </c>
      <c r="X138" t="s">
        <v>39</v>
      </c>
      <c r="Y138" t="s">
        <v>149</v>
      </c>
      <c r="AJ138">
        <f t="shared" si="38"/>
        <v>110</v>
      </c>
      <c r="AK138">
        <f t="shared" si="39"/>
        <v>110</v>
      </c>
      <c r="AL138">
        <f t="shared" si="40"/>
        <v>6</v>
      </c>
      <c r="AM138">
        <f t="shared" si="30"/>
        <v>6</v>
      </c>
      <c r="AN138">
        <f t="shared" si="41"/>
        <v>6</v>
      </c>
      <c r="AO138">
        <f t="shared" si="42"/>
        <v>6</v>
      </c>
      <c r="AP138">
        <f t="shared" si="43"/>
        <v>0</v>
      </c>
      <c r="AQ138">
        <f t="shared" si="31"/>
        <v>0</v>
      </c>
      <c r="AR138">
        <f t="shared" si="44"/>
        <v>0</v>
      </c>
    </row>
    <row r="139" spans="1:44" x14ac:dyDescent="0.25">
      <c r="A139" t="s">
        <v>177</v>
      </c>
      <c r="B139">
        <v>0</v>
      </c>
      <c r="C139" t="s">
        <v>5</v>
      </c>
      <c r="D139" t="s">
        <v>6</v>
      </c>
      <c r="E139" t="s">
        <v>7</v>
      </c>
      <c r="F139" t="s">
        <v>2</v>
      </c>
      <c r="G139" t="s">
        <v>3</v>
      </c>
      <c r="H139" t="s">
        <v>4</v>
      </c>
      <c r="I139" s="1">
        <v>0</v>
      </c>
      <c r="J139" s="1" t="s">
        <v>5</v>
      </c>
      <c r="K139" s="1" t="s">
        <v>6</v>
      </c>
      <c r="L139" s="1" t="s">
        <v>7</v>
      </c>
      <c r="M139" s="1" t="b">
        <v>0</v>
      </c>
      <c r="N139" s="1"/>
      <c r="O139">
        <v>0</v>
      </c>
      <c r="P139">
        <v>1</v>
      </c>
      <c r="Q139">
        <v>7</v>
      </c>
      <c r="R139" s="1">
        <f t="shared" si="32"/>
        <v>0</v>
      </c>
      <c r="S139" s="1">
        <f t="shared" si="33"/>
        <v>0</v>
      </c>
      <c r="T139" s="1">
        <f t="shared" si="34"/>
        <v>1</v>
      </c>
      <c r="U139" s="1">
        <f t="shared" si="35"/>
        <v>1</v>
      </c>
      <c r="V139" s="1">
        <f t="shared" si="36"/>
        <v>7</v>
      </c>
      <c r="W139" s="1" t="str">
        <f t="shared" si="37"/>
        <v>bAuto</v>
      </c>
      <c r="X139" t="s">
        <v>39</v>
      </c>
      <c r="Y139" t="s">
        <v>149</v>
      </c>
      <c r="AJ139">
        <f t="shared" si="38"/>
        <v>111</v>
      </c>
      <c r="AK139">
        <f t="shared" si="39"/>
        <v>111</v>
      </c>
      <c r="AL139">
        <f t="shared" si="40"/>
        <v>7</v>
      </c>
      <c r="AM139">
        <f t="shared" si="30"/>
        <v>7</v>
      </c>
      <c r="AN139">
        <f t="shared" si="41"/>
        <v>7</v>
      </c>
      <c r="AO139">
        <f t="shared" si="42"/>
        <v>7</v>
      </c>
      <c r="AP139">
        <f t="shared" si="43"/>
        <v>0</v>
      </c>
      <c r="AQ139">
        <f t="shared" si="31"/>
        <v>0</v>
      </c>
      <c r="AR139">
        <f t="shared" si="44"/>
        <v>0</v>
      </c>
    </row>
    <row r="140" spans="1:44" x14ac:dyDescent="0.25">
      <c r="A140" t="s">
        <v>178</v>
      </c>
      <c r="B140">
        <v>0</v>
      </c>
      <c r="I140" s="1">
        <v>0</v>
      </c>
      <c r="J140" s="1"/>
      <c r="K140" s="1"/>
      <c r="L140" s="1"/>
      <c r="M140" s="1" t="b">
        <v>0</v>
      </c>
      <c r="N140" s="1"/>
      <c r="O140">
        <v>0</v>
      </c>
      <c r="P140">
        <v>2</v>
      </c>
      <c r="Q140">
        <v>0</v>
      </c>
      <c r="R140" s="1">
        <f t="shared" si="32"/>
        <v>0</v>
      </c>
      <c r="S140" s="1">
        <f t="shared" si="33"/>
        <v>1</v>
      </c>
      <c r="T140" s="1">
        <f t="shared" si="34"/>
        <v>1</v>
      </c>
      <c r="U140" s="1">
        <f t="shared" si="35"/>
        <v>2</v>
      </c>
      <c r="V140" s="1">
        <f t="shared" si="36"/>
        <v>0</v>
      </c>
      <c r="W140" s="1" t="str">
        <f t="shared" si="37"/>
        <v>bAuto</v>
      </c>
      <c r="X140" t="s">
        <v>39</v>
      </c>
      <c r="Y140" t="s">
        <v>149</v>
      </c>
      <c r="AJ140">
        <f t="shared" si="38"/>
        <v>0</v>
      </c>
      <c r="AK140">
        <f t="shared" si="39"/>
        <v>0</v>
      </c>
      <c r="AL140">
        <f t="shared" si="40"/>
        <v>0</v>
      </c>
      <c r="AM140">
        <f t="shared" si="30"/>
        <v>0</v>
      </c>
      <c r="AN140">
        <f t="shared" si="41"/>
        <v>0</v>
      </c>
      <c r="AO140">
        <f t="shared" si="42"/>
        <v>0</v>
      </c>
      <c r="AP140">
        <f t="shared" si="43"/>
        <v>0</v>
      </c>
      <c r="AQ140">
        <f t="shared" si="31"/>
        <v>0</v>
      </c>
      <c r="AR140">
        <f t="shared" si="44"/>
        <v>0</v>
      </c>
    </row>
    <row r="141" spans="1:44" x14ac:dyDescent="0.25">
      <c r="A141" t="s">
        <v>179</v>
      </c>
      <c r="B141">
        <v>0</v>
      </c>
      <c r="C141" t="s">
        <v>5</v>
      </c>
      <c r="F141" t="s">
        <v>2</v>
      </c>
      <c r="I141" s="1">
        <v>0</v>
      </c>
      <c r="J141" s="1" t="s">
        <v>5</v>
      </c>
      <c r="K141" s="1"/>
      <c r="L141" s="1"/>
      <c r="M141" s="1" t="b">
        <v>0</v>
      </c>
      <c r="N141" s="1"/>
      <c r="O141">
        <v>0</v>
      </c>
      <c r="P141">
        <v>2</v>
      </c>
      <c r="Q141">
        <v>1</v>
      </c>
      <c r="R141" s="1">
        <f t="shared" si="32"/>
        <v>0</v>
      </c>
      <c r="S141" s="1">
        <f t="shared" si="33"/>
        <v>1</v>
      </c>
      <c r="T141" s="1">
        <f t="shared" si="34"/>
        <v>1</v>
      </c>
      <c r="U141" s="1">
        <f t="shared" si="35"/>
        <v>2</v>
      </c>
      <c r="V141" s="1">
        <f t="shared" si="36"/>
        <v>1</v>
      </c>
      <c r="W141" s="1" t="str">
        <f t="shared" si="37"/>
        <v>bAuto</v>
      </c>
      <c r="X141" t="s">
        <v>39</v>
      </c>
      <c r="Y141" t="s">
        <v>149</v>
      </c>
      <c r="AJ141">
        <f t="shared" si="38"/>
        <v>1</v>
      </c>
      <c r="AK141">
        <f t="shared" si="39"/>
        <v>1</v>
      </c>
      <c r="AL141">
        <f t="shared" si="40"/>
        <v>1</v>
      </c>
      <c r="AM141">
        <f t="shared" si="30"/>
        <v>1</v>
      </c>
      <c r="AN141">
        <f t="shared" si="41"/>
        <v>1</v>
      </c>
      <c r="AO141">
        <f t="shared" si="42"/>
        <v>1</v>
      </c>
      <c r="AP141">
        <f t="shared" si="43"/>
        <v>0</v>
      </c>
      <c r="AQ141">
        <f t="shared" si="31"/>
        <v>0</v>
      </c>
      <c r="AR141">
        <f t="shared" si="44"/>
        <v>0</v>
      </c>
    </row>
    <row r="142" spans="1:44" x14ac:dyDescent="0.25">
      <c r="A142" t="s">
        <v>180</v>
      </c>
      <c r="B142">
        <v>0</v>
      </c>
      <c r="D142" t="s">
        <v>6</v>
      </c>
      <c r="G142" t="s">
        <v>3</v>
      </c>
      <c r="I142" s="1">
        <v>0</v>
      </c>
      <c r="J142" s="1"/>
      <c r="K142" s="1" t="s">
        <v>6</v>
      </c>
      <c r="L142" s="1"/>
      <c r="M142" s="1" t="b">
        <v>0</v>
      </c>
      <c r="N142" s="1"/>
      <c r="O142">
        <v>0</v>
      </c>
      <c r="P142">
        <v>2</v>
      </c>
      <c r="Q142">
        <v>2</v>
      </c>
      <c r="R142" s="1">
        <f t="shared" si="32"/>
        <v>0</v>
      </c>
      <c r="S142" s="1">
        <f t="shared" si="33"/>
        <v>1</v>
      </c>
      <c r="T142" s="1">
        <f t="shared" si="34"/>
        <v>1</v>
      </c>
      <c r="U142" s="1">
        <f t="shared" si="35"/>
        <v>2</v>
      </c>
      <c r="V142" s="1">
        <f t="shared" si="36"/>
        <v>2</v>
      </c>
      <c r="W142" s="1" t="str">
        <f t="shared" si="37"/>
        <v>bAuto</v>
      </c>
      <c r="X142" t="s">
        <v>39</v>
      </c>
      <c r="Y142" t="s">
        <v>149</v>
      </c>
      <c r="AJ142">
        <f t="shared" si="38"/>
        <v>10</v>
      </c>
      <c r="AK142">
        <f t="shared" si="39"/>
        <v>10</v>
      </c>
      <c r="AL142">
        <f t="shared" si="40"/>
        <v>2</v>
      </c>
      <c r="AM142">
        <f t="shared" si="30"/>
        <v>2</v>
      </c>
      <c r="AN142">
        <f t="shared" si="41"/>
        <v>2</v>
      </c>
      <c r="AO142">
        <f t="shared" si="42"/>
        <v>2</v>
      </c>
      <c r="AP142">
        <f t="shared" si="43"/>
        <v>0</v>
      </c>
      <c r="AQ142">
        <f t="shared" si="31"/>
        <v>0</v>
      </c>
      <c r="AR142">
        <f t="shared" si="44"/>
        <v>0</v>
      </c>
    </row>
    <row r="143" spans="1:44" x14ac:dyDescent="0.25">
      <c r="A143" t="s">
        <v>181</v>
      </c>
      <c r="B143">
        <v>0</v>
      </c>
      <c r="E143" t="s">
        <v>7</v>
      </c>
      <c r="H143" t="s">
        <v>4</v>
      </c>
      <c r="I143" s="1">
        <v>0</v>
      </c>
      <c r="J143" s="1"/>
      <c r="K143" s="1"/>
      <c r="L143" s="1" t="s">
        <v>7</v>
      </c>
      <c r="M143" s="1" t="b">
        <v>0</v>
      </c>
      <c r="N143" s="1"/>
      <c r="O143">
        <v>0</v>
      </c>
      <c r="P143">
        <v>2</v>
      </c>
      <c r="Q143">
        <v>3</v>
      </c>
      <c r="R143" s="1">
        <f t="shared" si="32"/>
        <v>0</v>
      </c>
      <c r="S143" s="1">
        <f t="shared" si="33"/>
        <v>1</v>
      </c>
      <c r="T143" s="1">
        <f t="shared" si="34"/>
        <v>1</v>
      </c>
      <c r="U143" s="1">
        <f t="shared" si="35"/>
        <v>2</v>
      </c>
      <c r="V143" s="1">
        <f t="shared" si="36"/>
        <v>3</v>
      </c>
      <c r="W143" s="1" t="str">
        <f t="shared" si="37"/>
        <v>bAuto</v>
      </c>
      <c r="X143" t="s">
        <v>39</v>
      </c>
      <c r="Y143" t="s">
        <v>149</v>
      </c>
      <c r="AJ143">
        <f t="shared" si="38"/>
        <v>100</v>
      </c>
      <c r="AK143">
        <f t="shared" si="39"/>
        <v>100</v>
      </c>
      <c r="AL143">
        <f t="shared" si="40"/>
        <v>3</v>
      </c>
      <c r="AM143">
        <f t="shared" si="30"/>
        <v>3</v>
      </c>
      <c r="AN143">
        <f t="shared" si="41"/>
        <v>3</v>
      </c>
      <c r="AO143">
        <f t="shared" si="42"/>
        <v>3</v>
      </c>
      <c r="AP143">
        <f t="shared" si="43"/>
        <v>0</v>
      </c>
      <c r="AQ143">
        <f t="shared" si="31"/>
        <v>0</v>
      </c>
      <c r="AR143">
        <f t="shared" si="44"/>
        <v>0</v>
      </c>
    </row>
    <row r="144" spans="1:44" x14ac:dyDescent="0.25">
      <c r="A144" t="s">
        <v>182</v>
      </c>
      <c r="B144">
        <v>0</v>
      </c>
      <c r="C144" t="s">
        <v>5</v>
      </c>
      <c r="D144" t="s">
        <v>6</v>
      </c>
      <c r="F144" t="s">
        <v>2</v>
      </c>
      <c r="G144" t="s">
        <v>3</v>
      </c>
      <c r="I144" s="1">
        <v>0</v>
      </c>
      <c r="J144" s="1" t="s">
        <v>5</v>
      </c>
      <c r="K144" s="1" t="s">
        <v>6</v>
      </c>
      <c r="L144" s="1"/>
      <c r="M144" s="1" t="b">
        <v>0</v>
      </c>
      <c r="N144" s="1"/>
      <c r="O144">
        <v>0</v>
      </c>
      <c r="P144">
        <v>2</v>
      </c>
      <c r="Q144">
        <v>4</v>
      </c>
      <c r="R144" s="1">
        <f t="shared" si="32"/>
        <v>0</v>
      </c>
      <c r="S144" s="1">
        <f t="shared" si="33"/>
        <v>1</v>
      </c>
      <c r="T144" s="1">
        <f t="shared" si="34"/>
        <v>1</v>
      </c>
      <c r="U144" s="1">
        <f t="shared" si="35"/>
        <v>2</v>
      </c>
      <c r="V144" s="1">
        <f t="shared" si="36"/>
        <v>4</v>
      </c>
      <c r="W144" s="1" t="str">
        <f t="shared" si="37"/>
        <v>bAuto</v>
      </c>
      <c r="X144" t="s">
        <v>39</v>
      </c>
      <c r="Y144" t="s">
        <v>149</v>
      </c>
      <c r="AJ144">
        <f t="shared" si="38"/>
        <v>11</v>
      </c>
      <c r="AK144">
        <f t="shared" si="39"/>
        <v>11</v>
      </c>
      <c r="AL144">
        <f t="shared" si="40"/>
        <v>4</v>
      </c>
      <c r="AM144">
        <f t="shared" si="30"/>
        <v>4</v>
      </c>
      <c r="AN144">
        <f t="shared" si="41"/>
        <v>4</v>
      </c>
      <c r="AO144">
        <f t="shared" si="42"/>
        <v>4</v>
      </c>
      <c r="AP144">
        <f t="shared" si="43"/>
        <v>0</v>
      </c>
      <c r="AQ144">
        <f t="shared" si="31"/>
        <v>0</v>
      </c>
      <c r="AR144">
        <f t="shared" si="44"/>
        <v>0</v>
      </c>
    </row>
    <row r="145" spans="1:44" x14ac:dyDescent="0.25">
      <c r="A145" t="s">
        <v>183</v>
      </c>
      <c r="B145">
        <v>0</v>
      </c>
      <c r="C145" t="s">
        <v>5</v>
      </c>
      <c r="E145" t="s">
        <v>7</v>
      </c>
      <c r="F145" t="s">
        <v>2</v>
      </c>
      <c r="H145" t="s">
        <v>4</v>
      </c>
      <c r="I145" s="1">
        <v>0</v>
      </c>
      <c r="J145" s="1" t="s">
        <v>5</v>
      </c>
      <c r="K145" s="1"/>
      <c r="L145" s="1" t="s">
        <v>7</v>
      </c>
      <c r="M145" s="1" t="b">
        <v>0</v>
      </c>
      <c r="N145" s="1"/>
      <c r="O145">
        <v>0</v>
      </c>
      <c r="P145">
        <v>2</v>
      </c>
      <c r="Q145">
        <v>5</v>
      </c>
      <c r="R145" s="1">
        <f t="shared" si="32"/>
        <v>0</v>
      </c>
      <c r="S145" s="1">
        <f t="shared" si="33"/>
        <v>1</v>
      </c>
      <c r="T145" s="1">
        <f t="shared" si="34"/>
        <v>1</v>
      </c>
      <c r="U145" s="1">
        <f t="shared" si="35"/>
        <v>2</v>
      </c>
      <c r="V145" s="1">
        <f t="shared" si="36"/>
        <v>5</v>
      </c>
      <c r="W145" s="1" t="str">
        <f t="shared" si="37"/>
        <v>bAuto</v>
      </c>
      <c r="X145" t="s">
        <v>39</v>
      </c>
      <c r="Y145" t="s">
        <v>149</v>
      </c>
      <c r="AJ145">
        <f t="shared" si="38"/>
        <v>101</v>
      </c>
      <c r="AK145">
        <f t="shared" si="39"/>
        <v>101</v>
      </c>
      <c r="AL145">
        <f t="shared" si="40"/>
        <v>5</v>
      </c>
      <c r="AM145">
        <f t="shared" si="30"/>
        <v>5</v>
      </c>
      <c r="AN145">
        <f t="shared" si="41"/>
        <v>5</v>
      </c>
      <c r="AO145">
        <f t="shared" si="42"/>
        <v>5</v>
      </c>
      <c r="AP145">
        <f t="shared" si="43"/>
        <v>0</v>
      </c>
      <c r="AQ145">
        <f t="shared" si="31"/>
        <v>0</v>
      </c>
      <c r="AR145">
        <f t="shared" si="44"/>
        <v>0</v>
      </c>
    </row>
    <row r="146" spans="1:44" x14ac:dyDescent="0.25">
      <c r="A146" t="s">
        <v>184</v>
      </c>
      <c r="B146">
        <v>0</v>
      </c>
      <c r="D146" t="s">
        <v>6</v>
      </c>
      <c r="E146" t="s">
        <v>7</v>
      </c>
      <c r="G146" t="s">
        <v>3</v>
      </c>
      <c r="H146" t="s">
        <v>4</v>
      </c>
      <c r="I146" s="1">
        <v>0</v>
      </c>
      <c r="J146" s="1"/>
      <c r="K146" s="1" t="s">
        <v>6</v>
      </c>
      <c r="L146" s="1" t="s">
        <v>7</v>
      </c>
      <c r="M146" s="1" t="b">
        <v>0</v>
      </c>
      <c r="N146" s="1"/>
      <c r="O146">
        <v>0</v>
      </c>
      <c r="P146">
        <v>2</v>
      </c>
      <c r="Q146">
        <v>6</v>
      </c>
      <c r="R146" s="1">
        <f t="shared" si="32"/>
        <v>0</v>
      </c>
      <c r="S146" s="1">
        <f t="shared" si="33"/>
        <v>1</v>
      </c>
      <c r="T146" s="1">
        <f t="shared" si="34"/>
        <v>1</v>
      </c>
      <c r="U146" s="1">
        <f t="shared" si="35"/>
        <v>2</v>
      </c>
      <c r="V146" s="1">
        <f t="shared" si="36"/>
        <v>6</v>
      </c>
      <c r="W146" s="1" t="str">
        <f t="shared" si="37"/>
        <v>bAuto</v>
      </c>
      <c r="X146" t="s">
        <v>39</v>
      </c>
      <c r="Y146" t="s">
        <v>149</v>
      </c>
      <c r="AJ146">
        <f t="shared" si="38"/>
        <v>110</v>
      </c>
      <c r="AK146">
        <f t="shared" si="39"/>
        <v>110</v>
      </c>
      <c r="AL146">
        <f t="shared" si="40"/>
        <v>6</v>
      </c>
      <c r="AM146">
        <f t="shared" si="30"/>
        <v>6</v>
      </c>
      <c r="AN146">
        <f t="shared" si="41"/>
        <v>6</v>
      </c>
      <c r="AO146">
        <f t="shared" si="42"/>
        <v>6</v>
      </c>
      <c r="AP146">
        <f t="shared" si="43"/>
        <v>0</v>
      </c>
      <c r="AQ146">
        <f t="shared" si="31"/>
        <v>0</v>
      </c>
      <c r="AR146">
        <f t="shared" si="44"/>
        <v>0</v>
      </c>
    </row>
    <row r="147" spans="1:44" x14ac:dyDescent="0.25">
      <c r="A147" t="s">
        <v>185</v>
      </c>
      <c r="B147">
        <v>0</v>
      </c>
      <c r="C147" t="s">
        <v>5</v>
      </c>
      <c r="D147" t="s">
        <v>6</v>
      </c>
      <c r="E147" t="s">
        <v>7</v>
      </c>
      <c r="F147" t="s">
        <v>2</v>
      </c>
      <c r="G147" t="s">
        <v>3</v>
      </c>
      <c r="H147" t="s">
        <v>4</v>
      </c>
      <c r="I147" s="1">
        <v>0</v>
      </c>
      <c r="J147" s="1" t="s">
        <v>5</v>
      </c>
      <c r="K147" s="1" t="s">
        <v>6</v>
      </c>
      <c r="L147" s="1" t="s">
        <v>7</v>
      </c>
      <c r="M147" s="1" t="b">
        <v>0</v>
      </c>
      <c r="N147" s="1"/>
      <c r="O147">
        <v>0</v>
      </c>
      <c r="P147">
        <v>2</v>
      </c>
      <c r="Q147">
        <v>7</v>
      </c>
      <c r="R147" s="1">
        <f t="shared" si="32"/>
        <v>0</v>
      </c>
      <c r="S147" s="1">
        <f t="shared" si="33"/>
        <v>1</v>
      </c>
      <c r="T147" s="1">
        <f t="shared" si="34"/>
        <v>1</v>
      </c>
      <c r="U147" s="1">
        <f t="shared" si="35"/>
        <v>2</v>
      </c>
      <c r="V147" s="1">
        <f t="shared" si="36"/>
        <v>7</v>
      </c>
      <c r="W147" s="1" t="str">
        <f t="shared" si="37"/>
        <v>bAuto</v>
      </c>
      <c r="X147" t="s">
        <v>39</v>
      </c>
      <c r="Y147" t="s">
        <v>149</v>
      </c>
      <c r="AJ147">
        <f t="shared" si="38"/>
        <v>111</v>
      </c>
      <c r="AK147">
        <f t="shared" si="39"/>
        <v>111</v>
      </c>
      <c r="AL147">
        <f t="shared" si="40"/>
        <v>7</v>
      </c>
      <c r="AM147">
        <f t="shared" si="30"/>
        <v>7</v>
      </c>
      <c r="AN147">
        <f t="shared" si="41"/>
        <v>7</v>
      </c>
      <c r="AO147">
        <f t="shared" si="42"/>
        <v>7</v>
      </c>
      <c r="AP147">
        <f t="shared" si="43"/>
        <v>0</v>
      </c>
      <c r="AQ147">
        <f t="shared" si="31"/>
        <v>0</v>
      </c>
      <c r="AR147">
        <f t="shared" si="44"/>
        <v>0</v>
      </c>
    </row>
    <row r="148" spans="1:44" x14ac:dyDescent="0.25">
      <c r="A148" t="s">
        <v>186</v>
      </c>
      <c r="B148">
        <v>0</v>
      </c>
      <c r="I148" s="1">
        <v>0</v>
      </c>
      <c r="J148" s="1"/>
      <c r="K148" s="1"/>
      <c r="L148" s="1"/>
      <c r="M148" s="1" t="b">
        <v>0</v>
      </c>
      <c r="N148" s="1"/>
      <c r="O148">
        <v>0</v>
      </c>
      <c r="P148">
        <v>3</v>
      </c>
      <c r="Q148">
        <v>0</v>
      </c>
      <c r="R148" s="1">
        <f t="shared" si="32"/>
        <v>0</v>
      </c>
      <c r="S148" s="1">
        <f t="shared" si="33"/>
        <v>2</v>
      </c>
      <c r="T148" s="1">
        <f t="shared" si="34"/>
        <v>1</v>
      </c>
      <c r="U148" s="1">
        <f t="shared" si="35"/>
        <v>3</v>
      </c>
      <c r="V148" s="1">
        <f t="shared" si="36"/>
        <v>0</v>
      </c>
      <c r="W148" s="1" t="str">
        <f t="shared" si="37"/>
        <v>bAuto</v>
      </c>
      <c r="X148" t="s">
        <v>39</v>
      </c>
      <c r="Y148" t="s">
        <v>149</v>
      </c>
      <c r="AJ148">
        <f t="shared" si="38"/>
        <v>0</v>
      </c>
      <c r="AK148">
        <f t="shared" si="39"/>
        <v>0</v>
      </c>
      <c r="AL148">
        <f t="shared" si="40"/>
        <v>0</v>
      </c>
      <c r="AM148">
        <f t="shared" si="30"/>
        <v>0</v>
      </c>
      <c r="AN148">
        <f t="shared" si="41"/>
        <v>0</v>
      </c>
      <c r="AO148">
        <f t="shared" si="42"/>
        <v>0</v>
      </c>
      <c r="AP148">
        <f t="shared" si="43"/>
        <v>0</v>
      </c>
      <c r="AQ148">
        <f t="shared" si="31"/>
        <v>0</v>
      </c>
      <c r="AR148">
        <f t="shared" si="44"/>
        <v>0</v>
      </c>
    </row>
    <row r="149" spans="1:44" x14ac:dyDescent="0.25">
      <c r="A149" t="s">
        <v>187</v>
      </c>
      <c r="B149">
        <v>0</v>
      </c>
      <c r="I149" s="1">
        <v>0</v>
      </c>
      <c r="J149" s="1" t="s">
        <v>5</v>
      </c>
      <c r="K149" s="1"/>
      <c r="L149" s="1"/>
      <c r="M149" s="1" t="b">
        <v>0</v>
      </c>
      <c r="N149" s="1"/>
      <c r="O149">
        <v>0</v>
      </c>
      <c r="P149">
        <v>3</v>
      </c>
      <c r="Q149">
        <v>0</v>
      </c>
      <c r="R149" s="1">
        <f t="shared" si="32"/>
        <v>0</v>
      </c>
      <c r="S149" s="1">
        <f t="shared" si="33"/>
        <v>2</v>
      </c>
      <c r="T149" s="1">
        <f t="shared" si="34"/>
        <v>1</v>
      </c>
      <c r="U149" s="1">
        <f t="shared" si="35"/>
        <v>3</v>
      </c>
      <c r="V149" s="1">
        <f t="shared" si="36"/>
        <v>1</v>
      </c>
      <c r="W149" s="1" t="str">
        <f t="shared" si="37"/>
        <v>bAuto</v>
      </c>
      <c r="X149" t="s">
        <v>39</v>
      </c>
      <c r="Y149" t="s">
        <v>149</v>
      </c>
      <c r="AJ149">
        <f t="shared" si="38"/>
        <v>0</v>
      </c>
      <c r="AK149">
        <f t="shared" si="39"/>
        <v>0</v>
      </c>
      <c r="AL149">
        <f t="shared" si="40"/>
        <v>0</v>
      </c>
      <c r="AM149">
        <f t="shared" si="30"/>
        <v>0</v>
      </c>
      <c r="AN149">
        <f t="shared" si="41"/>
        <v>1</v>
      </c>
      <c r="AO149">
        <f t="shared" si="42"/>
        <v>0</v>
      </c>
      <c r="AP149">
        <f t="shared" si="43"/>
        <v>1</v>
      </c>
      <c r="AQ149">
        <f t="shared" si="31"/>
        <v>0</v>
      </c>
      <c r="AR149">
        <f t="shared" si="44"/>
        <v>1</v>
      </c>
    </row>
    <row r="150" spans="1:44" x14ac:dyDescent="0.25">
      <c r="A150" t="s">
        <v>188</v>
      </c>
      <c r="B150">
        <v>0</v>
      </c>
      <c r="I150" s="1">
        <v>0</v>
      </c>
      <c r="J150" s="1"/>
      <c r="K150" s="1" t="s">
        <v>6</v>
      </c>
      <c r="L150" s="1"/>
      <c r="M150" s="1" t="b">
        <v>0</v>
      </c>
      <c r="N150" s="1"/>
      <c r="O150">
        <v>0</v>
      </c>
      <c r="P150">
        <v>3</v>
      </c>
      <c r="Q150">
        <v>0</v>
      </c>
      <c r="R150" s="1">
        <f t="shared" si="32"/>
        <v>0</v>
      </c>
      <c r="S150" s="1">
        <f t="shared" si="33"/>
        <v>2</v>
      </c>
      <c r="T150" s="1">
        <f t="shared" si="34"/>
        <v>1</v>
      </c>
      <c r="U150" s="1">
        <f t="shared" si="35"/>
        <v>3</v>
      </c>
      <c r="V150" s="1">
        <f t="shared" si="36"/>
        <v>2</v>
      </c>
      <c r="W150" s="1" t="str">
        <f t="shared" si="37"/>
        <v>bAuto</v>
      </c>
      <c r="X150" t="s">
        <v>39</v>
      </c>
      <c r="Y150" t="s">
        <v>149</v>
      </c>
      <c r="AJ150">
        <f t="shared" si="38"/>
        <v>0</v>
      </c>
      <c r="AK150">
        <f t="shared" si="39"/>
        <v>0</v>
      </c>
      <c r="AL150">
        <f t="shared" si="40"/>
        <v>0</v>
      </c>
      <c r="AM150">
        <f t="shared" si="30"/>
        <v>0</v>
      </c>
      <c r="AN150">
        <f t="shared" si="41"/>
        <v>2</v>
      </c>
      <c r="AO150">
        <f t="shared" si="42"/>
        <v>0</v>
      </c>
      <c r="AP150">
        <f t="shared" si="43"/>
        <v>1</v>
      </c>
      <c r="AQ150">
        <f t="shared" si="31"/>
        <v>0</v>
      </c>
      <c r="AR150">
        <f t="shared" si="44"/>
        <v>1</v>
      </c>
    </row>
    <row r="151" spans="1:44" x14ac:dyDescent="0.25">
      <c r="A151" t="s">
        <v>189</v>
      </c>
      <c r="B151">
        <v>0</v>
      </c>
      <c r="I151" s="1">
        <v>0</v>
      </c>
      <c r="J151" s="1"/>
      <c r="K151" s="1"/>
      <c r="L151" s="1" t="s">
        <v>7</v>
      </c>
      <c r="M151" s="1" t="b">
        <v>0</v>
      </c>
      <c r="N151" s="1"/>
      <c r="O151">
        <v>0</v>
      </c>
      <c r="P151">
        <v>3</v>
      </c>
      <c r="Q151">
        <v>0</v>
      </c>
      <c r="R151" s="1">
        <f t="shared" si="32"/>
        <v>0</v>
      </c>
      <c r="S151" s="1">
        <f t="shared" si="33"/>
        <v>2</v>
      </c>
      <c r="T151" s="1">
        <f t="shared" si="34"/>
        <v>1</v>
      </c>
      <c r="U151" s="1">
        <f t="shared" si="35"/>
        <v>3</v>
      </c>
      <c r="V151" s="1">
        <f t="shared" si="36"/>
        <v>3</v>
      </c>
      <c r="W151" s="1" t="str">
        <f t="shared" si="37"/>
        <v>bAuto</v>
      </c>
      <c r="X151" t="s">
        <v>39</v>
      </c>
      <c r="Y151" t="s">
        <v>149</v>
      </c>
      <c r="AJ151">
        <f t="shared" si="38"/>
        <v>0</v>
      </c>
      <c r="AK151">
        <f t="shared" si="39"/>
        <v>0</v>
      </c>
      <c r="AL151">
        <f t="shared" si="40"/>
        <v>0</v>
      </c>
      <c r="AM151">
        <f t="shared" si="30"/>
        <v>0</v>
      </c>
      <c r="AN151">
        <f t="shared" si="41"/>
        <v>3</v>
      </c>
      <c r="AO151">
        <f t="shared" si="42"/>
        <v>0</v>
      </c>
      <c r="AP151">
        <f t="shared" si="43"/>
        <v>1</v>
      </c>
      <c r="AQ151">
        <f t="shared" si="31"/>
        <v>0</v>
      </c>
      <c r="AR151">
        <f t="shared" si="44"/>
        <v>1</v>
      </c>
    </row>
    <row r="152" spans="1:44" x14ac:dyDescent="0.25">
      <c r="A152" t="s">
        <v>190</v>
      </c>
      <c r="B152">
        <v>0</v>
      </c>
      <c r="I152" s="1">
        <v>0</v>
      </c>
      <c r="J152" s="1" t="s">
        <v>5</v>
      </c>
      <c r="K152" s="1" t="s">
        <v>6</v>
      </c>
      <c r="L152" s="1"/>
      <c r="M152" s="1" t="b">
        <v>0</v>
      </c>
      <c r="N152" s="1"/>
      <c r="O152">
        <v>0</v>
      </c>
      <c r="P152">
        <v>3</v>
      </c>
      <c r="Q152">
        <v>0</v>
      </c>
      <c r="R152" s="1">
        <f t="shared" si="32"/>
        <v>0</v>
      </c>
      <c r="S152" s="1">
        <f t="shared" si="33"/>
        <v>2</v>
      </c>
      <c r="T152" s="1">
        <f t="shared" si="34"/>
        <v>1</v>
      </c>
      <c r="U152" s="1">
        <f t="shared" si="35"/>
        <v>3</v>
      </c>
      <c r="V152" s="1">
        <f t="shared" si="36"/>
        <v>4</v>
      </c>
      <c r="W152" s="1" t="str">
        <f t="shared" si="37"/>
        <v>bAuto</v>
      </c>
      <c r="X152" t="s">
        <v>39</v>
      </c>
      <c r="Y152" t="s">
        <v>149</v>
      </c>
      <c r="AJ152">
        <f t="shared" si="38"/>
        <v>0</v>
      </c>
      <c r="AK152">
        <f t="shared" si="39"/>
        <v>0</v>
      </c>
      <c r="AL152">
        <f t="shared" si="40"/>
        <v>0</v>
      </c>
      <c r="AM152">
        <f t="shared" si="30"/>
        <v>0</v>
      </c>
      <c r="AN152">
        <f t="shared" si="41"/>
        <v>4</v>
      </c>
      <c r="AO152">
        <f t="shared" si="42"/>
        <v>0</v>
      </c>
      <c r="AP152">
        <f t="shared" si="43"/>
        <v>1</v>
      </c>
      <c r="AQ152">
        <f t="shared" si="31"/>
        <v>0</v>
      </c>
      <c r="AR152">
        <f t="shared" si="44"/>
        <v>1</v>
      </c>
    </row>
    <row r="153" spans="1:44" x14ac:dyDescent="0.25">
      <c r="A153" t="s">
        <v>191</v>
      </c>
      <c r="B153">
        <v>0</v>
      </c>
      <c r="I153" s="1">
        <v>0</v>
      </c>
      <c r="J153" s="1" t="s">
        <v>5</v>
      </c>
      <c r="K153" s="1"/>
      <c r="L153" s="1" t="s">
        <v>7</v>
      </c>
      <c r="M153" s="1" t="b">
        <v>0</v>
      </c>
      <c r="N153" s="1"/>
      <c r="O153">
        <v>0</v>
      </c>
      <c r="P153">
        <v>3</v>
      </c>
      <c r="Q153">
        <v>0</v>
      </c>
      <c r="R153" s="1">
        <f t="shared" si="32"/>
        <v>0</v>
      </c>
      <c r="S153" s="1">
        <f t="shared" si="33"/>
        <v>2</v>
      </c>
      <c r="T153" s="1">
        <f t="shared" si="34"/>
        <v>1</v>
      </c>
      <c r="U153" s="1">
        <f t="shared" si="35"/>
        <v>3</v>
      </c>
      <c r="V153" s="1">
        <f t="shared" si="36"/>
        <v>5</v>
      </c>
      <c r="W153" s="1" t="str">
        <f t="shared" si="37"/>
        <v>bAuto</v>
      </c>
      <c r="X153" t="s">
        <v>39</v>
      </c>
      <c r="Y153" t="s">
        <v>149</v>
      </c>
      <c r="AJ153">
        <f t="shared" si="38"/>
        <v>0</v>
      </c>
      <c r="AK153">
        <f t="shared" si="39"/>
        <v>0</v>
      </c>
      <c r="AL153">
        <f t="shared" si="40"/>
        <v>0</v>
      </c>
      <c r="AM153">
        <f t="shared" si="30"/>
        <v>0</v>
      </c>
      <c r="AN153">
        <f t="shared" si="41"/>
        <v>5</v>
      </c>
      <c r="AO153">
        <f t="shared" si="42"/>
        <v>0</v>
      </c>
      <c r="AP153">
        <f t="shared" si="43"/>
        <v>1</v>
      </c>
      <c r="AQ153">
        <f t="shared" si="31"/>
        <v>0</v>
      </c>
      <c r="AR153">
        <f t="shared" si="44"/>
        <v>1</v>
      </c>
    </row>
    <row r="154" spans="1:44" x14ac:dyDescent="0.25">
      <c r="A154" t="s">
        <v>192</v>
      </c>
      <c r="B154">
        <v>0</v>
      </c>
      <c r="I154" s="1">
        <v>0</v>
      </c>
      <c r="J154" s="1"/>
      <c r="K154" s="1" t="s">
        <v>6</v>
      </c>
      <c r="L154" s="1" t="s">
        <v>7</v>
      </c>
      <c r="M154" s="1" t="b">
        <v>0</v>
      </c>
      <c r="N154" s="1"/>
      <c r="O154">
        <v>0</v>
      </c>
      <c r="P154">
        <v>3</v>
      </c>
      <c r="Q154">
        <v>0</v>
      </c>
      <c r="R154" s="1">
        <f t="shared" si="32"/>
        <v>0</v>
      </c>
      <c r="S154" s="1">
        <f t="shared" si="33"/>
        <v>2</v>
      </c>
      <c r="T154" s="1">
        <f t="shared" si="34"/>
        <v>1</v>
      </c>
      <c r="U154" s="1">
        <f t="shared" si="35"/>
        <v>3</v>
      </c>
      <c r="V154" s="1">
        <f t="shared" si="36"/>
        <v>6</v>
      </c>
      <c r="W154" s="1" t="str">
        <f t="shared" si="37"/>
        <v>bAuto</v>
      </c>
      <c r="X154" t="s">
        <v>39</v>
      </c>
      <c r="Y154" t="s">
        <v>149</v>
      </c>
      <c r="AJ154">
        <f t="shared" si="38"/>
        <v>0</v>
      </c>
      <c r="AK154">
        <f t="shared" si="39"/>
        <v>0</v>
      </c>
      <c r="AL154">
        <f t="shared" si="40"/>
        <v>0</v>
      </c>
      <c r="AM154">
        <f t="shared" si="30"/>
        <v>0</v>
      </c>
      <c r="AN154">
        <f t="shared" si="41"/>
        <v>6</v>
      </c>
      <c r="AO154">
        <f t="shared" si="42"/>
        <v>0</v>
      </c>
      <c r="AP154">
        <f t="shared" si="43"/>
        <v>1</v>
      </c>
      <c r="AQ154">
        <f t="shared" si="31"/>
        <v>0</v>
      </c>
      <c r="AR154">
        <f t="shared" si="44"/>
        <v>1</v>
      </c>
    </row>
    <row r="155" spans="1:44" x14ac:dyDescent="0.25">
      <c r="A155" t="s">
        <v>193</v>
      </c>
      <c r="B155">
        <v>0</v>
      </c>
      <c r="I155" s="1">
        <v>0</v>
      </c>
      <c r="J155" s="1" t="s">
        <v>5</v>
      </c>
      <c r="K155" s="1" t="s">
        <v>6</v>
      </c>
      <c r="L155" s="1" t="s">
        <v>7</v>
      </c>
      <c r="M155" s="1" t="b">
        <v>0</v>
      </c>
      <c r="N155" s="1"/>
      <c r="O155">
        <v>0</v>
      </c>
      <c r="P155">
        <v>3</v>
      </c>
      <c r="Q155">
        <v>0</v>
      </c>
      <c r="R155" s="1">
        <f t="shared" si="32"/>
        <v>0</v>
      </c>
      <c r="S155" s="1">
        <f t="shared" si="33"/>
        <v>2</v>
      </c>
      <c r="T155" s="1">
        <f t="shared" si="34"/>
        <v>1</v>
      </c>
      <c r="U155" s="1">
        <f t="shared" si="35"/>
        <v>3</v>
      </c>
      <c r="V155" s="1">
        <f t="shared" si="36"/>
        <v>7</v>
      </c>
      <c r="W155" s="1" t="str">
        <f t="shared" si="37"/>
        <v>bAuto</v>
      </c>
      <c r="X155" t="s">
        <v>39</v>
      </c>
      <c r="Y155" t="s">
        <v>149</v>
      </c>
      <c r="AJ155">
        <f t="shared" si="38"/>
        <v>0</v>
      </c>
      <c r="AK155">
        <f t="shared" si="39"/>
        <v>0</v>
      </c>
      <c r="AL155">
        <f t="shared" si="40"/>
        <v>0</v>
      </c>
      <c r="AM155">
        <f t="shared" si="30"/>
        <v>0</v>
      </c>
      <c r="AN155">
        <f t="shared" si="41"/>
        <v>7</v>
      </c>
      <c r="AO155">
        <f t="shared" si="42"/>
        <v>0</v>
      </c>
      <c r="AP155">
        <f t="shared" si="43"/>
        <v>1</v>
      </c>
      <c r="AQ155">
        <f t="shared" si="31"/>
        <v>0</v>
      </c>
      <c r="AR155">
        <f t="shared" si="44"/>
        <v>1</v>
      </c>
    </row>
    <row r="156" spans="1:44" x14ac:dyDescent="0.25">
      <c r="A156" t="s">
        <v>194</v>
      </c>
      <c r="B156" t="s">
        <v>5</v>
      </c>
      <c r="F156" t="s">
        <v>1</v>
      </c>
      <c r="I156" s="1" t="s">
        <v>5</v>
      </c>
      <c r="J156" s="1"/>
      <c r="K156" s="1"/>
      <c r="L156" s="1"/>
      <c r="M156" s="1" t="b">
        <v>0</v>
      </c>
      <c r="N156" s="1"/>
      <c r="O156">
        <v>0</v>
      </c>
      <c r="P156">
        <v>0</v>
      </c>
      <c r="Q156">
        <v>1</v>
      </c>
      <c r="R156" s="1">
        <f t="shared" si="32"/>
        <v>0</v>
      </c>
      <c r="S156" s="1">
        <f t="shared" si="33"/>
        <v>0</v>
      </c>
      <c r="T156" s="1">
        <f t="shared" si="34"/>
        <v>0</v>
      </c>
      <c r="U156" s="1">
        <f t="shared" si="35"/>
        <v>0</v>
      </c>
      <c r="V156" s="1">
        <f t="shared" si="36"/>
        <v>0</v>
      </c>
      <c r="W156" s="1" t="str">
        <f t="shared" si="37"/>
        <v>B1B</v>
      </c>
      <c r="X156" t="s">
        <v>39</v>
      </c>
      <c r="Y156" t="s">
        <v>39</v>
      </c>
      <c r="AJ156">
        <f t="shared" si="38"/>
        <v>0</v>
      </c>
      <c r="AK156">
        <f t="shared" si="39"/>
        <v>1</v>
      </c>
      <c r="AL156">
        <f t="shared" si="40"/>
        <v>0</v>
      </c>
      <c r="AM156">
        <f t="shared" si="30"/>
        <v>1</v>
      </c>
      <c r="AN156">
        <f t="shared" si="41"/>
        <v>0</v>
      </c>
      <c r="AO156">
        <f t="shared" si="42"/>
        <v>1</v>
      </c>
      <c r="AP156">
        <f t="shared" si="43"/>
        <v>0</v>
      </c>
      <c r="AQ156">
        <f t="shared" si="31"/>
        <v>0</v>
      </c>
      <c r="AR156">
        <f t="shared" si="44"/>
        <v>0</v>
      </c>
    </row>
    <row r="157" spans="1:44" x14ac:dyDescent="0.25">
      <c r="A157" t="s">
        <v>195</v>
      </c>
      <c r="B157" t="s">
        <v>5</v>
      </c>
      <c r="C157" t="s">
        <v>6</v>
      </c>
      <c r="F157" t="s">
        <v>1</v>
      </c>
      <c r="G157" t="s">
        <v>2</v>
      </c>
      <c r="I157" s="1" t="s">
        <v>5</v>
      </c>
      <c r="J157" s="1" t="s">
        <v>6</v>
      </c>
      <c r="K157" s="1"/>
      <c r="L157" s="1"/>
      <c r="M157" s="1" t="b">
        <v>0</v>
      </c>
      <c r="N157" s="1"/>
      <c r="O157">
        <v>0</v>
      </c>
      <c r="P157">
        <v>0</v>
      </c>
      <c r="Q157">
        <v>4</v>
      </c>
      <c r="R157" s="1">
        <f t="shared" si="32"/>
        <v>0</v>
      </c>
      <c r="S157" s="1">
        <f t="shared" si="33"/>
        <v>0</v>
      </c>
      <c r="T157" s="1">
        <f t="shared" si="34"/>
        <v>0</v>
      </c>
      <c r="U157" s="1">
        <f t="shared" si="35"/>
        <v>0</v>
      </c>
      <c r="V157" s="1">
        <f t="shared" si="36"/>
        <v>1</v>
      </c>
      <c r="W157" s="1" t="str">
        <f t="shared" si="37"/>
        <v>B1B</v>
      </c>
      <c r="X157" t="s">
        <v>39</v>
      </c>
      <c r="Y157" t="s">
        <v>39</v>
      </c>
      <c r="AJ157">
        <f t="shared" si="38"/>
        <v>1</v>
      </c>
      <c r="AK157">
        <f t="shared" si="39"/>
        <v>11</v>
      </c>
      <c r="AL157">
        <f t="shared" si="40"/>
        <v>1</v>
      </c>
      <c r="AM157">
        <f t="shared" si="30"/>
        <v>4</v>
      </c>
      <c r="AN157">
        <f t="shared" si="41"/>
        <v>1</v>
      </c>
      <c r="AO157">
        <f t="shared" si="42"/>
        <v>4</v>
      </c>
      <c r="AP157">
        <f t="shared" si="43"/>
        <v>0</v>
      </c>
      <c r="AQ157">
        <f t="shared" si="31"/>
        <v>0</v>
      </c>
      <c r="AR157">
        <f t="shared" si="44"/>
        <v>0</v>
      </c>
    </row>
    <row r="158" spans="1:44" x14ac:dyDescent="0.25">
      <c r="A158" t="s">
        <v>196</v>
      </c>
      <c r="B158" t="s">
        <v>5</v>
      </c>
      <c r="D158" t="s">
        <v>7</v>
      </c>
      <c r="F158" t="s">
        <v>1</v>
      </c>
      <c r="H158" t="s">
        <v>3</v>
      </c>
      <c r="I158" s="1" t="s">
        <v>5</v>
      </c>
      <c r="J158" s="1"/>
      <c r="K158" s="1" t="s">
        <v>7</v>
      </c>
      <c r="L158" s="1"/>
      <c r="M158" s="1" t="b">
        <v>0</v>
      </c>
      <c r="N158" s="1"/>
      <c r="O158">
        <v>0</v>
      </c>
      <c r="P158">
        <v>0</v>
      </c>
      <c r="Q158">
        <v>5</v>
      </c>
      <c r="R158" s="1">
        <f t="shared" si="32"/>
        <v>0</v>
      </c>
      <c r="S158" s="1">
        <f t="shared" si="33"/>
        <v>0</v>
      </c>
      <c r="T158" s="1">
        <f t="shared" si="34"/>
        <v>0</v>
      </c>
      <c r="U158" s="1">
        <f t="shared" si="35"/>
        <v>0</v>
      </c>
      <c r="V158" s="1">
        <f t="shared" si="36"/>
        <v>2</v>
      </c>
      <c r="W158" s="1" t="str">
        <f t="shared" si="37"/>
        <v>B1B</v>
      </c>
      <c r="X158" t="s">
        <v>39</v>
      </c>
      <c r="Y158" t="s">
        <v>39</v>
      </c>
      <c r="AJ158">
        <f t="shared" si="38"/>
        <v>10</v>
      </c>
      <c r="AK158">
        <f t="shared" si="39"/>
        <v>101</v>
      </c>
      <c r="AL158">
        <f t="shared" si="40"/>
        <v>2</v>
      </c>
      <c r="AM158">
        <f t="shared" si="30"/>
        <v>5</v>
      </c>
      <c r="AN158">
        <f t="shared" si="41"/>
        <v>2</v>
      </c>
      <c r="AO158">
        <f t="shared" si="42"/>
        <v>5</v>
      </c>
      <c r="AP158">
        <f t="shared" si="43"/>
        <v>0</v>
      </c>
      <c r="AQ158">
        <f t="shared" si="31"/>
        <v>0</v>
      </c>
      <c r="AR158">
        <f t="shared" si="44"/>
        <v>0</v>
      </c>
    </row>
    <row r="159" spans="1:44" x14ac:dyDescent="0.25">
      <c r="A159" t="s">
        <v>197</v>
      </c>
      <c r="B159" t="s">
        <v>5</v>
      </c>
      <c r="E159" t="s">
        <v>43</v>
      </c>
      <c r="F159" t="s">
        <v>1</v>
      </c>
      <c r="I159" s="1" t="s">
        <v>5</v>
      </c>
      <c r="J159" s="1"/>
      <c r="K159" s="1"/>
      <c r="L159" s="1" t="s">
        <v>43</v>
      </c>
      <c r="M159" s="1" t="b">
        <v>0</v>
      </c>
      <c r="N159" s="1"/>
      <c r="O159">
        <v>1</v>
      </c>
      <c r="P159">
        <v>0</v>
      </c>
      <c r="Q159">
        <v>1</v>
      </c>
      <c r="R159" s="1">
        <f t="shared" si="32"/>
        <v>1</v>
      </c>
      <c r="S159" s="1">
        <f t="shared" si="33"/>
        <v>0</v>
      </c>
      <c r="T159" s="1">
        <f t="shared" si="34"/>
        <v>0</v>
      </c>
      <c r="U159" s="1">
        <f t="shared" si="35"/>
        <v>0</v>
      </c>
      <c r="V159" s="1">
        <f t="shared" si="36"/>
        <v>3</v>
      </c>
      <c r="W159" s="1" t="str">
        <f t="shared" si="37"/>
        <v>B1B</v>
      </c>
      <c r="X159" t="s">
        <v>39</v>
      </c>
      <c r="Y159" t="s">
        <v>39</v>
      </c>
      <c r="AJ159">
        <f t="shared" si="38"/>
        <v>100</v>
      </c>
      <c r="AK159">
        <f t="shared" si="39"/>
        <v>1</v>
      </c>
      <c r="AL159">
        <f t="shared" si="40"/>
        <v>3</v>
      </c>
      <c r="AM159">
        <f t="shared" si="30"/>
        <v>1</v>
      </c>
      <c r="AN159">
        <f t="shared" si="41"/>
        <v>3</v>
      </c>
      <c r="AO159">
        <f t="shared" si="42"/>
        <v>1</v>
      </c>
      <c r="AP159">
        <f t="shared" si="43"/>
        <v>0</v>
      </c>
      <c r="AQ159">
        <f t="shared" si="31"/>
        <v>0</v>
      </c>
      <c r="AR159">
        <f t="shared" si="44"/>
        <v>0</v>
      </c>
    </row>
    <row r="160" spans="1:44" x14ac:dyDescent="0.25">
      <c r="A160" t="s">
        <v>198</v>
      </c>
      <c r="B160" t="s">
        <v>5</v>
      </c>
      <c r="C160" t="s">
        <v>6</v>
      </c>
      <c r="D160" t="s">
        <v>7</v>
      </c>
      <c r="F160" t="s">
        <v>1</v>
      </c>
      <c r="G160" t="s">
        <v>2</v>
      </c>
      <c r="H160" t="s">
        <v>3</v>
      </c>
      <c r="I160" s="1" t="s">
        <v>5</v>
      </c>
      <c r="J160" s="1" t="s">
        <v>6</v>
      </c>
      <c r="K160" s="1" t="s">
        <v>7</v>
      </c>
      <c r="L160" s="1"/>
      <c r="M160" s="1" t="b">
        <v>0</v>
      </c>
      <c r="N160" s="1"/>
      <c r="O160">
        <v>0</v>
      </c>
      <c r="P160">
        <v>0</v>
      </c>
      <c r="Q160">
        <v>7</v>
      </c>
      <c r="R160" s="1">
        <f t="shared" si="32"/>
        <v>0</v>
      </c>
      <c r="S160" s="1">
        <f t="shared" si="33"/>
        <v>0</v>
      </c>
      <c r="T160" s="1">
        <f t="shared" si="34"/>
        <v>0</v>
      </c>
      <c r="U160" s="1">
        <f t="shared" si="35"/>
        <v>0</v>
      </c>
      <c r="V160" s="1">
        <f t="shared" si="36"/>
        <v>4</v>
      </c>
      <c r="W160" s="1" t="str">
        <f t="shared" si="37"/>
        <v>B1B</v>
      </c>
      <c r="X160" t="s">
        <v>39</v>
      </c>
      <c r="Y160" t="s">
        <v>39</v>
      </c>
      <c r="AJ160">
        <f t="shared" si="38"/>
        <v>11</v>
      </c>
      <c r="AK160">
        <f t="shared" si="39"/>
        <v>111</v>
      </c>
      <c r="AL160">
        <f t="shared" si="40"/>
        <v>4</v>
      </c>
      <c r="AM160">
        <f t="shared" si="30"/>
        <v>7</v>
      </c>
      <c r="AN160">
        <f t="shared" si="41"/>
        <v>4</v>
      </c>
      <c r="AO160">
        <f t="shared" si="42"/>
        <v>7</v>
      </c>
      <c r="AP160">
        <f t="shared" si="43"/>
        <v>0</v>
      </c>
      <c r="AQ160">
        <f t="shared" si="31"/>
        <v>0</v>
      </c>
      <c r="AR160">
        <f t="shared" si="44"/>
        <v>0</v>
      </c>
    </row>
    <row r="161" spans="1:44" x14ac:dyDescent="0.25">
      <c r="A161" t="s">
        <v>199</v>
      </c>
      <c r="B161" t="s">
        <v>5</v>
      </c>
      <c r="C161" t="s">
        <v>6</v>
      </c>
      <c r="E161" t="s">
        <v>43</v>
      </c>
      <c r="F161" t="s">
        <v>1</v>
      </c>
      <c r="G161" t="s">
        <v>2</v>
      </c>
      <c r="I161" s="1" t="s">
        <v>5</v>
      </c>
      <c r="J161" s="1" t="s">
        <v>6</v>
      </c>
      <c r="K161" s="1"/>
      <c r="L161" s="1" t="s">
        <v>43</v>
      </c>
      <c r="M161" s="1" t="b">
        <v>0</v>
      </c>
      <c r="N161" s="1"/>
      <c r="O161">
        <v>1</v>
      </c>
      <c r="P161">
        <v>0</v>
      </c>
      <c r="Q161">
        <v>4</v>
      </c>
      <c r="R161" s="1">
        <f t="shared" si="32"/>
        <v>1</v>
      </c>
      <c r="S161" s="1">
        <f t="shared" si="33"/>
        <v>0</v>
      </c>
      <c r="T161" s="1">
        <f t="shared" si="34"/>
        <v>0</v>
      </c>
      <c r="U161" s="1">
        <f t="shared" si="35"/>
        <v>0</v>
      </c>
      <c r="V161" s="1">
        <f t="shared" si="36"/>
        <v>5</v>
      </c>
      <c r="W161" s="1" t="str">
        <f t="shared" si="37"/>
        <v>B1B</v>
      </c>
      <c r="X161" t="s">
        <v>39</v>
      </c>
      <c r="Y161" t="s">
        <v>39</v>
      </c>
      <c r="AJ161">
        <f t="shared" si="38"/>
        <v>101</v>
      </c>
      <c r="AK161">
        <f t="shared" si="39"/>
        <v>11</v>
      </c>
      <c r="AL161">
        <f t="shared" si="40"/>
        <v>5</v>
      </c>
      <c r="AM161">
        <f t="shared" si="30"/>
        <v>4</v>
      </c>
      <c r="AN161">
        <f t="shared" si="41"/>
        <v>5</v>
      </c>
      <c r="AO161">
        <f t="shared" si="42"/>
        <v>4</v>
      </c>
      <c r="AP161">
        <f t="shared" si="43"/>
        <v>0</v>
      </c>
      <c r="AQ161">
        <f t="shared" si="31"/>
        <v>0</v>
      </c>
      <c r="AR161">
        <f t="shared" si="44"/>
        <v>0</v>
      </c>
    </row>
    <row r="162" spans="1:44" x14ac:dyDescent="0.25">
      <c r="A162" t="s">
        <v>200</v>
      </c>
      <c r="B162" t="s">
        <v>5</v>
      </c>
      <c r="D162" t="s">
        <v>7</v>
      </c>
      <c r="E162" t="s">
        <v>43</v>
      </c>
      <c r="F162" t="s">
        <v>1</v>
      </c>
      <c r="H162" t="s">
        <v>3</v>
      </c>
      <c r="I162" s="1" t="s">
        <v>5</v>
      </c>
      <c r="J162" s="1"/>
      <c r="K162" s="1" t="s">
        <v>7</v>
      </c>
      <c r="L162" s="1" t="s">
        <v>43</v>
      </c>
      <c r="M162" s="1" t="b">
        <v>0</v>
      </c>
      <c r="N162" s="1"/>
      <c r="O162">
        <v>1</v>
      </c>
      <c r="P162">
        <v>0</v>
      </c>
      <c r="Q162">
        <v>5</v>
      </c>
      <c r="R162" s="1">
        <f t="shared" si="32"/>
        <v>1</v>
      </c>
      <c r="S162" s="1">
        <f t="shared" si="33"/>
        <v>0</v>
      </c>
      <c r="T162" s="1">
        <f t="shared" si="34"/>
        <v>0</v>
      </c>
      <c r="U162" s="1">
        <f t="shared" si="35"/>
        <v>0</v>
      </c>
      <c r="V162" s="1">
        <f t="shared" si="36"/>
        <v>6</v>
      </c>
      <c r="W162" s="1" t="str">
        <f t="shared" si="37"/>
        <v>B1B</v>
      </c>
      <c r="X162" t="s">
        <v>39</v>
      </c>
      <c r="Y162" t="s">
        <v>39</v>
      </c>
      <c r="AJ162">
        <f t="shared" si="38"/>
        <v>110</v>
      </c>
      <c r="AK162">
        <f t="shared" si="39"/>
        <v>101</v>
      </c>
      <c r="AL162">
        <f t="shared" si="40"/>
        <v>6</v>
      </c>
      <c r="AM162">
        <f t="shared" si="30"/>
        <v>5</v>
      </c>
      <c r="AN162">
        <f t="shared" si="41"/>
        <v>6</v>
      </c>
      <c r="AO162">
        <f t="shared" si="42"/>
        <v>5</v>
      </c>
      <c r="AP162">
        <f t="shared" si="43"/>
        <v>0</v>
      </c>
      <c r="AQ162">
        <f t="shared" si="31"/>
        <v>0</v>
      </c>
      <c r="AR162">
        <f t="shared" si="44"/>
        <v>0</v>
      </c>
    </row>
    <row r="163" spans="1:44" x14ac:dyDescent="0.25">
      <c r="A163" t="s">
        <v>201</v>
      </c>
      <c r="B163" t="s">
        <v>5</v>
      </c>
      <c r="C163" t="s">
        <v>6</v>
      </c>
      <c r="D163" t="s">
        <v>7</v>
      </c>
      <c r="E163" t="s">
        <v>43</v>
      </c>
      <c r="F163" t="s">
        <v>1</v>
      </c>
      <c r="G163" t="s">
        <v>2</v>
      </c>
      <c r="H163" t="s">
        <v>3</v>
      </c>
      <c r="I163" s="1" t="s">
        <v>5</v>
      </c>
      <c r="J163" s="1" t="s">
        <v>6</v>
      </c>
      <c r="K163" s="1" t="s">
        <v>7</v>
      </c>
      <c r="L163" s="1" t="s">
        <v>43</v>
      </c>
      <c r="M163" s="1" t="b">
        <v>0</v>
      </c>
      <c r="N163" s="1"/>
      <c r="O163">
        <v>1</v>
      </c>
      <c r="P163">
        <v>0</v>
      </c>
      <c r="Q163">
        <v>7</v>
      </c>
      <c r="R163" s="1">
        <f t="shared" si="32"/>
        <v>1</v>
      </c>
      <c r="S163" s="1">
        <f t="shared" si="33"/>
        <v>0</v>
      </c>
      <c r="T163" s="1">
        <f t="shared" si="34"/>
        <v>0</v>
      </c>
      <c r="U163" s="1">
        <f t="shared" si="35"/>
        <v>0</v>
      </c>
      <c r="V163" s="1">
        <f t="shared" si="36"/>
        <v>7</v>
      </c>
      <c r="W163" s="1" t="str">
        <f t="shared" si="37"/>
        <v>B1B</v>
      </c>
      <c r="X163" t="s">
        <v>39</v>
      </c>
      <c r="Y163" t="s">
        <v>39</v>
      </c>
      <c r="AJ163">
        <f t="shared" si="38"/>
        <v>111</v>
      </c>
      <c r="AK163">
        <f t="shared" si="39"/>
        <v>111</v>
      </c>
      <c r="AL163">
        <f t="shared" si="40"/>
        <v>7</v>
      </c>
      <c r="AM163">
        <f t="shared" si="30"/>
        <v>7</v>
      </c>
      <c r="AN163">
        <f t="shared" si="41"/>
        <v>7</v>
      </c>
      <c r="AO163">
        <f t="shared" si="42"/>
        <v>7</v>
      </c>
      <c r="AP163">
        <f t="shared" si="43"/>
        <v>0</v>
      </c>
      <c r="AQ163">
        <f t="shared" si="31"/>
        <v>0</v>
      </c>
      <c r="AR163">
        <f t="shared" si="44"/>
        <v>0</v>
      </c>
    </row>
    <row r="164" spans="1:44" x14ac:dyDescent="0.25">
      <c r="A164" t="s">
        <v>202</v>
      </c>
      <c r="B164" t="s">
        <v>5</v>
      </c>
      <c r="F164" t="s">
        <v>1</v>
      </c>
      <c r="I164" s="1" t="s">
        <v>5</v>
      </c>
      <c r="J164" s="1"/>
      <c r="K164" s="1"/>
      <c r="L164" s="1"/>
      <c r="M164" s="1" t="b">
        <v>0</v>
      </c>
      <c r="N164" s="1"/>
      <c r="O164">
        <v>0</v>
      </c>
      <c r="P164">
        <v>1</v>
      </c>
      <c r="Q164">
        <v>1</v>
      </c>
      <c r="R164" s="1">
        <f t="shared" si="32"/>
        <v>0</v>
      </c>
      <c r="S164" s="1">
        <f t="shared" si="33"/>
        <v>1</v>
      </c>
      <c r="T164" s="1">
        <f t="shared" si="34"/>
        <v>0</v>
      </c>
      <c r="U164" s="1">
        <f t="shared" si="35"/>
        <v>1</v>
      </c>
      <c r="V164" s="1">
        <f t="shared" si="36"/>
        <v>0</v>
      </c>
      <c r="W164" s="1" t="str">
        <f t="shared" si="37"/>
        <v>B1B</v>
      </c>
      <c r="X164" t="s">
        <v>39</v>
      </c>
      <c r="Y164" t="s">
        <v>39</v>
      </c>
      <c r="AJ164">
        <f t="shared" si="38"/>
        <v>0</v>
      </c>
      <c r="AK164">
        <f t="shared" si="39"/>
        <v>1</v>
      </c>
      <c r="AL164">
        <f t="shared" si="40"/>
        <v>0</v>
      </c>
      <c r="AM164">
        <f t="shared" si="30"/>
        <v>1</v>
      </c>
      <c r="AN164">
        <f t="shared" si="41"/>
        <v>0</v>
      </c>
      <c r="AO164">
        <f t="shared" si="42"/>
        <v>1</v>
      </c>
      <c r="AP164">
        <f t="shared" si="43"/>
        <v>0</v>
      </c>
      <c r="AQ164">
        <f t="shared" si="31"/>
        <v>0</v>
      </c>
      <c r="AR164">
        <f t="shared" si="44"/>
        <v>0</v>
      </c>
    </row>
    <row r="165" spans="1:44" x14ac:dyDescent="0.25">
      <c r="A165" t="s">
        <v>203</v>
      </c>
      <c r="B165" t="s">
        <v>5</v>
      </c>
      <c r="C165" t="s">
        <v>6</v>
      </c>
      <c r="F165" t="s">
        <v>1</v>
      </c>
      <c r="G165" t="s">
        <v>2</v>
      </c>
      <c r="I165" s="1" t="s">
        <v>5</v>
      </c>
      <c r="J165" s="1" t="s">
        <v>6</v>
      </c>
      <c r="K165" s="1"/>
      <c r="L165" s="1"/>
      <c r="M165" s="1" t="b">
        <v>0</v>
      </c>
      <c r="N165" s="1"/>
      <c r="O165">
        <v>0</v>
      </c>
      <c r="P165">
        <v>1</v>
      </c>
      <c r="Q165">
        <v>4</v>
      </c>
      <c r="R165" s="1">
        <f t="shared" si="32"/>
        <v>0</v>
      </c>
      <c r="S165" s="1">
        <f t="shared" si="33"/>
        <v>1</v>
      </c>
      <c r="T165" s="1">
        <f t="shared" si="34"/>
        <v>0</v>
      </c>
      <c r="U165" s="1">
        <f t="shared" si="35"/>
        <v>1</v>
      </c>
      <c r="V165" s="1">
        <f t="shared" si="36"/>
        <v>1</v>
      </c>
      <c r="W165" s="1" t="str">
        <f t="shared" si="37"/>
        <v>B1B</v>
      </c>
      <c r="X165" t="s">
        <v>39</v>
      </c>
      <c r="Y165" t="s">
        <v>39</v>
      </c>
      <c r="AJ165">
        <f t="shared" si="38"/>
        <v>1</v>
      </c>
      <c r="AK165">
        <f t="shared" si="39"/>
        <v>11</v>
      </c>
      <c r="AL165">
        <f t="shared" si="40"/>
        <v>1</v>
      </c>
      <c r="AM165">
        <f t="shared" si="30"/>
        <v>4</v>
      </c>
      <c r="AN165">
        <f t="shared" si="41"/>
        <v>1</v>
      </c>
      <c r="AO165">
        <f t="shared" si="42"/>
        <v>4</v>
      </c>
      <c r="AP165">
        <f t="shared" si="43"/>
        <v>0</v>
      </c>
      <c r="AQ165">
        <f t="shared" si="31"/>
        <v>0</v>
      </c>
      <c r="AR165">
        <f t="shared" si="44"/>
        <v>0</v>
      </c>
    </row>
    <row r="166" spans="1:44" x14ac:dyDescent="0.25">
      <c r="A166" t="s">
        <v>204</v>
      </c>
      <c r="B166" t="s">
        <v>5</v>
      </c>
      <c r="D166" t="s">
        <v>7</v>
      </c>
      <c r="F166" t="s">
        <v>1</v>
      </c>
      <c r="H166" t="s">
        <v>3</v>
      </c>
      <c r="I166" s="1" t="s">
        <v>5</v>
      </c>
      <c r="J166" s="1"/>
      <c r="K166" s="1" t="s">
        <v>7</v>
      </c>
      <c r="L166" s="1"/>
      <c r="M166" s="1" t="b">
        <v>0</v>
      </c>
      <c r="N166" s="1"/>
      <c r="O166">
        <v>0</v>
      </c>
      <c r="P166">
        <v>1</v>
      </c>
      <c r="Q166">
        <v>5</v>
      </c>
      <c r="R166" s="1">
        <f t="shared" si="32"/>
        <v>0</v>
      </c>
      <c r="S166" s="1">
        <f t="shared" si="33"/>
        <v>1</v>
      </c>
      <c r="T166" s="1">
        <f t="shared" si="34"/>
        <v>0</v>
      </c>
      <c r="U166" s="1">
        <f t="shared" si="35"/>
        <v>1</v>
      </c>
      <c r="V166" s="1">
        <f t="shared" si="36"/>
        <v>2</v>
      </c>
      <c r="W166" s="1" t="str">
        <f t="shared" si="37"/>
        <v>B1B</v>
      </c>
      <c r="X166" t="s">
        <v>39</v>
      </c>
      <c r="Y166" t="s">
        <v>39</v>
      </c>
      <c r="AJ166">
        <f t="shared" si="38"/>
        <v>10</v>
      </c>
      <c r="AK166">
        <f t="shared" si="39"/>
        <v>101</v>
      </c>
      <c r="AL166">
        <f t="shared" si="40"/>
        <v>2</v>
      </c>
      <c r="AM166">
        <f t="shared" si="30"/>
        <v>5</v>
      </c>
      <c r="AN166">
        <f t="shared" si="41"/>
        <v>2</v>
      </c>
      <c r="AO166">
        <f t="shared" si="42"/>
        <v>5</v>
      </c>
      <c r="AP166">
        <f t="shared" si="43"/>
        <v>0</v>
      </c>
      <c r="AQ166">
        <f t="shared" si="31"/>
        <v>0</v>
      </c>
      <c r="AR166">
        <f t="shared" si="44"/>
        <v>0</v>
      </c>
    </row>
    <row r="167" spans="1:44" x14ac:dyDescent="0.25">
      <c r="A167" t="s">
        <v>205</v>
      </c>
      <c r="B167" t="s">
        <v>5</v>
      </c>
      <c r="E167" t="s">
        <v>43</v>
      </c>
      <c r="F167" t="s">
        <v>1</v>
      </c>
      <c r="I167" s="1" t="s">
        <v>5</v>
      </c>
      <c r="J167" s="1"/>
      <c r="K167" s="1"/>
      <c r="L167" s="1" t="s">
        <v>43</v>
      </c>
      <c r="M167" s="1" t="b">
        <v>0</v>
      </c>
      <c r="N167" s="1"/>
      <c r="O167">
        <v>1</v>
      </c>
      <c r="P167">
        <v>1</v>
      </c>
      <c r="Q167">
        <v>1</v>
      </c>
      <c r="R167" s="1">
        <f t="shared" si="32"/>
        <v>1</v>
      </c>
      <c r="S167" s="1">
        <f t="shared" si="33"/>
        <v>1</v>
      </c>
      <c r="T167" s="1">
        <f t="shared" si="34"/>
        <v>0</v>
      </c>
      <c r="U167" s="1">
        <f t="shared" si="35"/>
        <v>1</v>
      </c>
      <c r="V167" s="1">
        <f t="shared" si="36"/>
        <v>3</v>
      </c>
      <c r="W167" s="1" t="str">
        <f t="shared" si="37"/>
        <v>B1B</v>
      </c>
      <c r="X167" t="s">
        <v>39</v>
      </c>
      <c r="Y167" t="s">
        <v>39</v>
      </c>
      <c r="AJ167">
        <f t="shared" si="38"/>
        <v>100</v>
      </c>
      <c r="AK167">
        <f t="shared" si="39"/>
        <v>1</v>
      </c>
      <c r="AL167">
        <f t="shared" si="40"/>
        <v>3</v>
      </c>
      <c r="AM167">
        <f t="shared" si="30"/>
        <v>1</v>
      </c>
      <c r="AN167">
        <f t="shared" si="41"/>
        <v>3</v>
      </c>
      <c r="AO167">
        <f t="shared" si="42"/>
        <v>1</v>
      </c>
      <c r="AP167">
        <f t="shared" si="43"/>
        <v>0</v>
      </c>
      <c r="AQ167">
        <f t="shared" si="31"/>
        <v>0</v>
      </c>
      <c r="AR167">
        <f t="shared" si="44"/>
        <v>0</v>
      </c>
    </row>
    <row r="168" spans="1:44" x14ac:dyDescent="0.25">
      <c r="A168" t="s">
        <v>206</v>
      </c>
      <c r="B168" t="s">
        <v>5</v>
      </c>
      <c r="C168" t="s">
        <v>6</v>
      </c>
      <c r="D168" t="s">
        <v>7</v>
      </c>
      <c r="F168" t="s">
        <v>1</v>
      </c>
      <c r="G168" t="s">
        <v>2</v>
      </c>
      <c r="H168" t="s">
        <v>3</v>
      </c>
      <c r="I168" s="1" t="s">
        <v>5</v>
      </c>
      <c r="J168" s="1" t="s">
        <v>6</v>
      </c>
      <c r="K168" s="1" t="s">
        <v>7</v>
      </c>
      <c r="L168" s="1"/>
      <c r="M168" s="1" t="b">
        <v>0</v>
      </c>
      <c r="N168" s="1"/>
      <c r="O168">
        <v>0</v>
      </c>
      <c r="P168">
        <v>1</v>
      </c>
      <c r="Q168">
        <v>7</v>
      </c>
      <c r="R168" s="1">
        <f t="shared" si="32"/>
        <v>0</v>
      </c>
      <c r="S168" s="1">
        <f t="shared" si="33"/>
        <v>1</v>
      </c>
      <c r="T168" s="1">
        <f t="shared" si="34"/>
        <v>0</v>
      </c>
      <c r="U168" s="1">
        <f t="shared" si="35"/>
        <v>1</v>
      </c>
      <c r="V168" s="1">
        <f t="shared" si="36"/>
        <v>4</v>
      </c>
      <c r="W168" s="1" t="str">
        <f t="shared" si="37"/>
        <v>B1B</v>
      </c>
      <c r="X168" t="s">
        <v>39</v>
      </c>
      <c r="Y168" t="s">
        <v>39</v>
      </c>
      <c r="AJ168">
        <f t="shared" si="38"/>
        <v>11</v>
      </c>
      <c r="AK168">
        <f t="shared" si="39"/>
        <v>111</v>
      </c>
      <c r="AL168">
        <f t="shared" si="40"/>
        <v>4</v>
      </c>
      <c r="AM168">
        <f t="shared" si="30"/>
        <v>7</v>
      </c>
      <c r="AN168">
        <f t="shared" si="41"/>
        <v>4</v>
      </c>
      <c r="AO168">
        <f t="shared" si="42"/>
        <v>7</v>
      </c>
      <c r="AP168">
        <f t="shared" si="43"/>
        <v>0</v>
      </c>
      <c r="AQ168">
        <f t="shared" si="31"/>
        <v>0</v>
      </c>
      <c r="AR168">
        <f t="shared" si="44"/>
        <v>0</v>
      </c>
    </row>
    <row r="169" spans="1:44" x14ac:dyDescent="0.25">
      <c r="A169" t="s">
        <v>207</v>
      </c>
      <c r="B169" t="s">
        <v>5</v>
      </c>
      <c r="C169" t="s">
        <v>6</v>
      </c>
      <c r="E169" t="s">
        <v>43</v>
      </c>
      <c r="F169" t="s">
        <v>1</v>
      </c>
      <c r="G169" t="s">
        <v>2</v>
      </c>
      <c r="I169" s="1" t="s">
        <v>5</v>
      </c>
      <c r="J169" s="1" t="s">
        <v>6</v>
      </c>
      <c r="K169" s="1"/>
      <c r="L169" s="1" t="s">
        <v>43</v>
      </c>
      <c r="M169" s="1" t="b">
        <v>0</v>
      </c>
      <c r="N169" s="1"/>
      <c r="O169">
        <v>1</v>
      </c>
      <c r="P169">
        <v>1</v>
      </c>
      <c r="Q169">
        <v>4</v>
      </c>
      <c r="R169" s="1">
        <f t="shared" si="32"/>
        <v>1</v>
      </c>
      <c r="S169" s="1">
        <f t="shared" si="33"/>
        <v>1</v>
      </c>
      <c r="T169" s="1">
        <f t="shared" si="34"/>
        <v>0</v>
      </c>
      <c r="U169" s="1">
        <f t="shared" si="35"/>
        <v>1</v>
      </c>
      <c r="V169" s="1">
        <f t="shared" si="36"/>
        <v>5</v>
      </c>
      <c r="W169" s="1" t="str">
        <f t="shared" si="37"/>
        <v>B1B</v>
      </c>
      <c r="X169" t="s">
        <v>39</v>
      </c>
      <c r="Y169" t="s">
        <v>39</v>
      </c>
      <c r="AJ169">
        <f t="shared" si="38"/>
        <v>101</v>
      </c>
      <c r="AK169">
        <f t="shared" si="39"/>
        <v>11</v>
      </c>
      <c r="AL169">
        <f t="shared" si="40"/>
        <v>5</v>
      </c>
      <c r="AM169">
        <f t="shared" si="30"/>
        <v>4</v>
      </c>
      <c r="AN169">
        <f t="shared" si="41"/>
        <v>5</v>
      </c>
      <c r="AO169">
        <f t="shared" si="42"/>
        <v>4</v>
      </c>
      <c r="AP169">
        <f t="shared" si="43"/>
        <v>0</v>
      </c>
      <c r="AQ169">
        <f t="shared" si="31"/>
        <v>0</v>
      </c>
      <c r="AR169">
        <f t="shared" si="44"/>
        <v>0</v>
      </c>
    </row>
    <row r="170" spans="1:44" x14ac:dyDescent="0.25">
      <c r="A170" t="s">
        <v>208</v>
      </c>
      <c r="B170" t="s">
        <v>5</v>
      </c>
      <c r="D170" t="s">
        <v>7</v>
      </c>
      <c r="E170" t="s">
        <v>43</v>
      </c>
      <c r="F170" t="s">
        <v>1</v>
      </c>
      <c r="H170" t="s">
        <v>3</v>
      </c>
      <c r="I170" s="1" t="s">
        <v>5</v>
      </c>
      <c r="J170" s="1"/>
      <c r="K170" s="1" t="s">
        <v>7</v>
      </c>
      <c r="L170" s="1" t="s">
        <v>43</v>
      </c>
      <c r="M170" s="1" t="b">
        <v>0</v>
      </c>
      <c r="N170" s="1"/>
      <c r="O170">
        <v>1</v>
      </c>
      <c r="P170">
        <v>1</v>
      </c>
      <c r="Q170">
        <v>5</v>
      </c>
      <c r="R170" s="1">
        <f t="shared" si="32"/>
        <v>1</v>
      </c>
      <c r="S170" s="1">
        <f t="shared" si="33"/>
        <v>1</v>
      </c>
      <c r="T170" s="1">
        <f t="shared" si="34"/>
        <v>0</v>
      </c>
      <c r="U170" s="1">
        <f t="shared" si="35"/>
        <v>1</v>
      </c>
      <c r="V170" s="1">
        <f t="shared" si="36"/>
        <v>6</v>
      </c>
      <c r="W170" s="1" t="str">
        <f t="shared" si="37"/>
        <v>B1B</v>
      </c>
      <c r="X170" t="s">
        <v>39</v>
      </c>
      <c r="Y170" t="s">
        <v>39</v>
      </c>
      <c r="AJ170">
        <f t="shared" si="38"/>
        <v>110</v>
      </c>
      <c r="AK170">
        <f t="shared" si="39"/>
        <v>101</v>
      </c>
      <c r="AL170">
        <f t="shared" si="40"/>
        <v>6</v>
      </c>
      <c r="AM170">
        <f t="shared" si="30"/>
        <v>5</v>
      </c>
      <c r="AN170">
        <f t="shared" si="41"/>
        <v>6</v>
      </c>
      <c r="AO170">
        <f t="shared" si="42"/>
        <v>5</v>
      </c>
      <c r="AP170">
        <f t="shared" si="43"/>
        <v>0</v>
      </c>
      <c r="AQ170">
        <f t="shared" si="31"/>
        <v>0</v>
      </c>
      <c r="AR170">
        <f t="shared" si="44"/>
        <v>0</v>
      </c>
    </row>
    <row r="171" spans="1:44" x14ac:dyDescent="0.25">
      <c r="A171" t="s">
        <v>209</v>
      </c>
      <c r="B171" t="s">
        <v>5</v>
      </c>
      <c r="C171" t="s">
        <v>6</v>
      </c>
      <c r="D171" t="s">
        <v>7</v>
      </c>
      <c r="E171" t="s">
        <v>43</v>
      </c>
      <c r="F171" t="s">
        <v>1</v>
      </c>
      <c r="G171" t="s">
        <v>2</v>
      </c>
      <c r="H171" t="s">
        <v>3</v>
      </c>
      <c r="I171" s="1" t="s">
        <v>5</v>
      </c>
      <c r="J171" s="1" t="s">
        <v>6</v>
      </c>
      <c r="K171" s="1" t="s">
        <v>7</v>
      </c>
      <c r="L171" s="1" t="s">
        <v>43</v>
      </c>
      <c r="M171" s="1" t="b">
        <v>0</v>
      </c>
      <c r="N171" s="1"/>
      <c r="O171">
        <v>1</v>
      </c>
      <c r="P171">
        <v>1</v>
      </c>
      <c r="Q171">
        <v>7</v>
      </c>
      <c r="R171" s="1">
        <f t="shared" si="32"/>
        <v>1</v>
      </c>
      <c r="S171" s="1">
        <f t="shared" si="33"/>
        <v>1</v>
      </c>
      <c r="T171" s="1">
        <f t="shared" si="34"/>
        <v>0</v>
      </c>
      <c r="U171" s="1">
        <f t="shared" si="35"/>
        <v>1</v>
      </c>
      <c r="V171" s="1">
        <f t="shared" si="36"/>
        <v>7</v>
      </c>
      <c r="W171" s="1" t="str">
        <f t="shared" si="37"/>
        <v>B1B</v>
      </c>
      <c r="X171" t="s">
        <v>39</v>
      </c>
      <c r="Y171" t="s">
        <v>39</v>
      </c>
      <c r="AJ171">
        <f t="shared" si="38"/>
        <v>111</v>
      </c>
      <c r="AK171">
        <f t="shared" si="39"/>
        <v>111</v>
      </c>
      <c r="AL171">
        <f t="shared" si="40"/>
        <v>7</v>
      </c>
      <c r="AM171">
        <f t="shared" si="30"/>
        <v>7</v>
      </c>
      <c r="AN171">
        <f t="shared" si="41"/>
        <v>7</v>
      </c>
      <c r="AO171">
        <f t="shared" si="42"/>
        <v>7</v>
      </c>
      <c r="AP171">
        <f t="shared" si="43"/>
        <v>0</v>
      </c>
      <c r="AQ171">
        <f t="shared" si="31"/>
        <v>0</v>
      </c>
      <c r="AR171">
        <f t="shared" si="44"/>
        <v>0</v>
      </c>
    </row>
    <row r="172" spans="1:44" x14ac:dyDescent="0.25">
      <c r="A172" t="s">
        <v>210</v>
      </c>
      <c r="B172" t="s">
        <v>5</v>
      </c>
      <c r="F172" t="s">
        <v>1</v>
      </c>
      <c r="I172" s="1" t="s">
        <v>5</v>
      </c>
      <c r="J172" s="1"/>
      <c r="K172" s="1"/>
      <c r="L172" s="1"/>
      <c r="M172" s="1" t="b">
        <v>0</v>
      </c>
      <c r="N172" s="1"/>
      <c r="O172">
        <v>0</v>
      </c>
      <c r="P172">
        <v>2</v>
      </c>
      <c r="Q172">
        <v>1</v>
      </c>
      <c r="R172" s="1">
        <f t="shared" si="32"/>
        <v>0</v>
      </c>
      <c r="S172" s="1">
        <f t="shared" si="33"/>
        <v>2</v>
      </c>
      <c r="T172" s="1">
        <f t="shared" si="34"/>
        <v>0</v>
      </c>
      <c r="U172" s="1">
        <f t="shared" si="35"/>
        <v>2</v>
      </c>
      <c r="V172" s="1">
        <f t="shared" si="36"/>
        <v>0</v>
      </c>
      <c r="W172" s="1" t="str">
        <f t="shared" si="37"/>
        <v>B1B</v>
      </c>
      <c r="X172" t="s">
        <v>39</v>
      </c>
      <c r="Y172" t="s">
        <v>39</v>
      </c>
      <c r="AJ172">
        <f t="shared" si="38"/>
        <v>0</v>
      </c>
      <c r="AK172">
        <f t="shared" si="39"/>
        <v>1</v>
      </c>
      <c r="AL172">
        <f t="shared" si="40"/>
        <v>0</v>
      </c>
      <c r="AM172">
        <f t="shared" si="30"/>
        <v>1</v>
      </c>
      <c r="AN172">
        <f t="shared" si="41"/>
        <v>0</v>
      </c>
      <c r="AO172">
        <f t="shared" si="42"/>
        <v>1</v>
      </c>
      <c r="AP172">
        <f t="shared" si="43"/>
        <v>0</v>
      </c>
      <c r="AQ172">
        <f t="shared" si="31"/>
        <v>0</v>
      </c>
      <c r="AR172">
        <f t="shared" si="44"/>
        <v>0</v>
      </c>
    </row>
    <row r="173" spans="1:44" x14ac:dyDescent="0.25">
      <c r="A173" t="s">
        <v>211</v>
      </c>
      <c r="B173" t="s">
        <v>5</v>
      </c>
      <c r="C173" t="s">
        <v>6</v>
      </c>
      <c r="F173" t="s">
        <v>1</v>
      </c>
      <c r="G173" t="s">
        <v>2</v>
      </c>
      <c r="I173" s="1" t="s">
        <v>5</v>
      </c>
      <c r="J173" s="1" t="s">
        <v>6</v>
      </c>
      <c r="K173" s="1"/>
      <c r="L173" s="1"/>
      <c r="M173" s="1" t="b">
        <v>0</v>
      </c>
      <c r="N173" s="1"/>
      <c r="O173">
        <v>0</v>
      </c>
      <c r="P173">
        <v>2</v>
      </c>
      <c r="Q173">
        <v>4</v>
      </c>
      <c r="R173" s="1">
        <f t="shared" si="32"/>
        <v>0</v>
      </c>
      <c r="S173" s="1">
        <f t="shared" si="33"/>
        <v>2</v>
      </c>
      <c r="T173" s="1">
        <f t="shared" si="34"/>
        <v>0</v>
      </c>
      <c r="U173" s="1">
        <f t="shared" si="35"/>
        <v>2</v>
      </c>
      <c r="V173" s="1">
        <f t="shared" si="36"/>
        <v>1</v>
      </c>
      <c r="W173" s="1" t="str">
        <f t="shared" si="37"/>
        <v>B1B</v>
      </c>
      <c r="X173" t="s">
        <v>39</v>
      </c>
      <c r="Y173" t="s">
        <v>39</v>
      </c>
      <c r="AJ173">
        <f t="shared" si="38"/>
        <v>1</v>
      </c>
      <c r="AK173">
        <f t="shared" si="39"/>
        <v>11</v>
      </c>
      <c r="AL173">
        <f t="shared" si="40"/>
        <v>1</v>
      </c>
      <c r="AM173">
        <f t="shared" si="30"/>
        <v>4</v>
      </c>
      <c r="AN173">
        <f t="shared" si="41"/>
        <v>1</v>
      </c>
      <c r="AO173">
        <f t="shared" si="42"/>
        <v>4</v>
      </c>
      <c r="AP173">
        <f t="shared" si="43"/>
        <v>0</v>
      </c>
      <c r="AQ173">
        <f t="shared" si="31"/>
        <v>0</v>
      </c>
      <c r="AR173">
        <f t="shared" si="44"/>
        <v>0</v>
      </c>
    </row>
    <row r="174" spans="1:44" x14ac:dyDescent="0.25">
      <c r="A174" t="s">
        <v>212</v>
      </c>
      <c r="B174" t="s">
        <v>5</v>
      </c>
      <c r="D174" t="s">
        <v>7</v>
      </c>
      <c r="F174" t="s">
        <v>1</v>
      </c>
      <c r="H174" t="s">
        <v>3</v>
      </c>
      <c r="I174" s="1" t="s">
        <v>5</v>
      </c>
      <c r="J174" s="1"/>
      <c r="K174" s="1" t="s">
        <v>7</v>
      </c>
      <c r="L174" s="1"/>
      <c r="M174" s="1" t="b">
        <v>0</v>
      </c>
      <c r="N174" s="1"/>
      <c r="O174">
        <v>0</v>
      </c>
      <c r="P174">
        <v>2</v>
      </c>
      <c r="Q174">
        <v>5</v>
      </c>
      <c r="R174" s="1">
        <f t="shared" si="32"/>
        <v>0</v>
      </c>
      <c r="S174" s="1">
        <f t="shared" si="33"/>
        <v>2</v>
      </c>
      <c r="T174" s="1">
        <f t="shared" si="34"/>
        <v>0</v>
      </c>
      <c r="U174" s="1">
        <f t="shared" si="35"/>
        <v>2</v>
      </c>
      <c r="V174" s="1">
        <f t="shared" si="36"/>
        <v>2</v>
      </c>
      <c r="W174" s="1" t="str">
        <f t="shared" si="37"/>
        <v>B1B</v>
      </c>
      <c r="X174" t="s">
        <v>39</v>
      </c>
      <c r="Y174" t="s">
        <v>39</v>
      </c>
      <c r="AJ174">
        <f t="shared" si="38"/>
        <v>10</v>
      </c>
      <c r="AK174">
        <f t="shared" si="39"/>
        <v>101</v>
      </c>
      <c r="AL174">
        <f t="shared" si="40"/>
        <v>2</v>
      </c>
      <c r="AM174">
        <f t="shared" si="30"/>
        <v>5</v>
      </c>
      <c r="AN174">
        <f t="shared" si="41"/>
        <v>2</v>
      </c>
      <c r="AO174">
        <f t="shared" si="42"/>
        <v>5</v>
      </c>
      <c r="AP174">
        <f t="shared" si="43"/>
        <v>0</v>
      </c>
      <c r="AQ174">
        <f t="shared" si="31"/>
        <v>0</v>
      </c>
      <c r="AR174">
        <f t="shared" si="44"/>
        <v>0</v>
      </c>
    </row>
    <row r="175" spans="1:44" x14ac:dyDescent="0.25">
      <c r="A175" t="s">
        <v>213</v>
      </c>
      <c r="B175" t="s">
        <v>5</v>
      </c>
      <c r="E175" t="s">
        <v>43</v>
      </c>
      <c r="F175" t="s">
        <v>1</v>
      </c>
      <c r="I175" s="1" t="s">
        <v>5</v>
      </c>
      <c r="J175" s="1"/>
      <c r="K175" s="1"/>
      <c r="L175" s="1" t="s">
        <v>43</v>
      </c>
      <c r="M175" s="1" t="b">
        <v>0</v>
      </c>
      <c r="N175" s="1"/>
      <c r="O175">
        <v>1</v>
      </c>
      <c r="P175">
        <v>2</v>
      </c>
      <c r="Q175">
        <v>1</v>
      </c>
      <c r="R175" s="1">
        <f t="shared" si="32"/>
        <v>1</v>
      </c>
      <c r="S175" s="1">
        <f t="shared" si="33"/>
        <v>2</v>
      </c>
      <c r="T175" s="1">
        <f t="shared" si="34"/>
        <v>0</v>
      </c>
      <c r="U175" s="1">
        <f t="shared" si="35"/>
        <v>2</v>
      </c>
      <c r="V175" s="1">
        <f t="shared" si="36"/>
        <v>3</v>
      </c>
      <c r="W175" s="1" t="str">
        <f t="shared" si="37"/>
        <v>B1B</v>
      </c>
      <c r="X175" t="s">
        <v>39</v>
      </c>
      <c r="Y175" t="s">
        <v>39</v>
      </c>
      <c r="AJ175">
        <f t="shared" si="38"/>
        <v>100</v>
      </c>
      <c r="AK175">
        <f t="shared" si="39"/>
        <v>1</v>
      </c>
      <c r="AL175">
        <f t="shared" si="40"/>
        <v>3</v>
      </c>
      <c r="AM175">
        <f t="shared" si="30"/>
        <v>1</v>
      </c>
      <c r="AN175">
        <f t="shared" si="41"/>
        <v>3</v>
      </c>
      <c r="AO175">
        <f t="shared" si="42"/>
        <v>1</v>
      </c>
      <c r="AP175">
        <f t="shared" si="43"/>
        <v>0</v>
      </c>
      <c r="AQ175">
        <f t="shared" si="31"/>
        <v>0</v>
      </c>
      <c r="AR175">
        <f t="shared" si="44"/>
        <v>0</v>
      </c>
    </row>
    <row r="176" spans="1:44" x14ac:dyDescent="0.25">
      <c r="A176" t="s">
        <v>214</v>
      </c>
      <c r="B176" t="s">
        <v>5</v>
      </c>
      <c r="C176" t="s">
        <v>6</v>
      </c>
      <c r="D176" t="s">
        <v>7</v>
      </c>
      <c r="F176" t="s">
        <v>1</v>
      </c>
      <c r="G176" t="s">
        <v>2</v>
      </c>
      <c r="H176" t="s">
        <v>3</v>
      </c>
      <c r="I176" s="1" t="s">
        <v>5</v>
      </c>
      <c r="J176" s="1" t="s">
        <v>6</v>
      </c>
      <c r="K176" s="1" t="s">
        <v>7</v>
      </c>
      <c r="L176" s="1"/>
      <c r="M176" s="1" t="b">
        <v>0</v>
      </c>
      <c r="N176" s="1"/>
      <c r="O176">
        <v>0</v>
      </c>
      <c r="P176">
        <v>2</v>
      </c>
      <c r="Q176">
        <v>7</v>
      </c>
      <c r="R176" s="1">
        <f t="shared" si="32"/>
        <v>0</v>
      </c>
      <c r="S176" s="1">
        <f t="shared" si="33"/>
        <v>2</v>
      </c>
      <c r="T176" s="1">
        <f t="shared" si="34"/>
        <v>0</v>
      </c>
      <c r="U176" s="1">
        <f t="shared" si="35"/>
        <v>2</v>
      </c>
      <c r="V176" s="1">
        <f t="shared" si="36"/>
        <v>4</v>
      </c>
      <c r="W176" s="1" t="str">
        <f t="shared" si="37"/>
        <v>B1B</v>
      </c>
      <c r="X176" t="s">
        <v>39</v>
      </c>
      <c r="Y176" t="s">
        <v>39</v>
      </c>
      <c r="AJ176">
        <f t="shared" si="38"/>
        <v>11</v>
      </c>
      <c r="AK176">
        <f t="shared" si="39"/>
        <v>111</v>
      </c>
      <c r="AL176">
        <f t="shared" si="40"/>
        <v>4</v>
      </c>
      <c r="AM176">
        <f t="shared" si="30"/>
        <v>7</v>
      </c>
      <c r="AN176">
        <f t="shared" si="41"/>
        <v>4</v>
      </c>
      <c r="AO176">
        <f t="shared" si="42"/>
        <v>7</v>
      </c>
      <c r="AP176">
        <f t="shared" si="43"/>
        <v>0</v>
      </c>
      <c r="AQ176">
        <f t="shared" si="31"/>
        <v>0</v>
      </c>
      <c r="AR176">
        <f t="shared" si="44"/>
        <v>0</v>
      </c>
    </row>
    <row r="177" spans="1:44" x14ac:dyDescent="0.25">
      <c r="A177" t="s">
        <v>215</v>
      </c>
      <c r="B177" t="s">
        <v>5</v>
      </c>
      <c r="C177" t="s">
        <v>6</v>
      </c>
      <c r="E177" t="s">
        <v>43</v>
      </c>
      <c r="F177" t="s">
        <v>1</v>
      </c>
      <c r="G177" t="s">
        <v>2</v>
      </c>
      <c r="I177" s="1" t="s">
        <v>5</v>
      </c>
      <c r="J177" s="1" t="s">
        <v>6</v>
      </c>
      <c r="K177" s="1"/>
      <c r="L177" s="1" t="s">
        <v>43</v>
      </c>
      <c r="M177" s="1" t="b">
        <v>0</v>
      </c>
      <c r="N177" s="1"/>
      <c r="O177">
        <v>1</v>
      </c>
      <c r="P177">
        <v>2</v>
      </c>
      <c r="Q177">
        <v>4</v>
      </c>
      <c r="R177" s="1">
        <f t="shared" si="32"/>
        <v>1</v>
      </c>
      <c r="S177" s="1">
        <f t="shared" si="33"/>
        <v>2</v>
      </c>
      <c r="T177" s="1">
        <f t="shared" si="34"/>
        <v>0</v>
      </c>
      <c r="U177" s="1">
        <f t="shared" si="35"/>
        <v>2</v>
      </c>
      <c r="V177" s="1">
        <f t="shared" si="36"/>
        <v>5</v>
      </c>
      <c r="W177" s="1" t="str">
        <f t="shared" si="37"/>
        <v>B1B</v>
      </c>
      <c r="X177" t="s">
        <v>39</v>
      </c>
      <c r="Y177" t="s">
        <v>39</v>
      </c>
      <c r="AJ177">
        <f t="shared" si="38"/>
        <v>101</v>
      </c>
      <c r="AK177">
        <f t="shared" si="39"/>
        <v>11</v>
      </c>
      <c r="AL177">
        <f t="shared" si="40"/>
        <v>5</v>
      </c>
      <c r="AM177">
        <f t="shared" si="30"/>
        <v>4</v>
      </c>
      <c r="AN177">
        <f t="shared" si="41"/>
        <v>5</v>
      </c>
      <c r="AO177">
        <f t="shared" si="42"/>
        <v>4</v>
      </c>
      <c r="AP177">
        <f t="shared" si="43"/>
        <v>0</v>
      </c>
      <c r="AQ177">
        <f t="shared" si="31"/>
        <v>0</v>
      </c>
      <c r="AR177">
        <f t="shared" si="44"/>
        <v>0</v>
      </c>
    </row>
    <row r="178" spans="1:44" x14ac:dyDescent="0.25">
      <c r="A178" t="s">
        <v>216</v>
      </c>
      <c r="B178" t="s">
        <v>5</v>
      </c>
      <c r="D178" t="s">
        <v>7</v>
      </c>
      <c r="E178" t="s">
        <v>43</v>
      </c>
      <c r="F178" t="s">
        <v>1</v>
      </c>
      <c r="H178" t="s">
        <v>3</v>
      </c>
      <c r="I178" s="1" t="s">
        <v>5</v>
      </c>
      <c r="J178" s="1"/>
      <c r="K178" s="1" t="s">
        <v>7</v>
      </c>
      <c r="L178" s="1" t="s">
        <v>43</v>
      </c>
      <c r="M178" s="1" t="b">
        <v>0</v>
      </c>
      <c r="N178" s="1"/>
      <c r="O178">
        <v>1</v>
      </c>
      <c r="P178">
        <v>2</v>
      </c>
      <c r="Q178">
        <v>5</v>
      </c>
      <c r="R178" s="1">
        <f t="shared" si="32"/>
        <v>1</v>
      </c>
      <c r="S178" s="1">
        <f t="shared" si="33"/>
        <v>2</v>
      </c>
      <c r="T178" s="1">
        <f t="shared" si="34"/>
        <v>0</v>
      </c>
      <c r="U178" s="1">
        <f t="shared" si="35"/>
        <v>2</v>
      </c>
      <c r="V178" s="1">
        <f t="shared" si="36"/>
        <v>6</v>
      </c>
      <c r="W178" s="1" t="str">
        <f t="shared" si="37"/>
        <v>B1B</v>
      </c>
      <c r="X178" t="s">
        <v>39</v>
      </c>
      <c r="Y178" t="s">
        <v>39</v>
      </c>
      <c r="AJ178">
        <f t="shared" si="38"/>
        <v>110</v>
      </c>
      <c r="AK178">
        <f t="shared" si="39"/>
        <v>101</v>
      </c>
      <c r="AL178">
        <f t="shared" si="40"/>
        <v>6</v>
      </c>
      <c r="AM178">
        <f t="shared" si="30"/>
        <v>5</v>
      </c>
      <c r="AN178">
        <f t="shared" si="41"/>
        <v>6</v>
      </c>
      <c r="AO178">
        <f t="shared" si="42"/>
        <v>5</v>
      </c>
      <c r="AP178">
        <f t="shared" si="43"/>
        <v>0</v>
      </c>
      <c r="AQ178">
        <f t="shared" si="31"/>
        <v>0</v>
      </c>
      <c r="AR178">
        <f t="shared" si="44"/>
        <v>0</v>
      </c>
    </row>
    <row r="179" spans="1:44" x14ac:dyDescent="0.25">
      <c r="A179" t="s">
        <v>217</v>
      </c>
      <c r="B179" t="s">
        <v>5</v>
      </c>
      <c r="C179" t="s">
        <v>6</v>
      </c>
      <c r="D179" t="s">
        <v>7</v>
      </c>
      <c r="E179" t="s">
        <v>43</v>
      </c>
      <c r="F179" t="s">
        <v>1</v>
      </c>
      <c r="G179" t="s">
        <v>2</v>
      </c>
      <c r="H179" t="s">
        <v>3</v>
      </c>
      <c r="I179" s="1" t="s">
        <v>5</v>
      </c>
      <c r="J179" s="1" t="s">
        <v>6</v>
      </c>
      <c r="K179" s="1" t="s">
        <v>7</v>
      </c>
      <c r="L179" s="1" t="s">
        <v>43</v>
      </c>
      <c r="M179" s="1" t="b">
        <v>0</v>
      </c>
      <c r="N179" s="1"/>
      <c r="O179">
        <v>1</v>
      </c>
      <c r="P179">
        <v>2</v>
      </c>
      <c r="Q179">
        <v>7</v>
      </c>
      <c r="R179" s="1">
        <f t="shared" si="32"/>
        <v>1</v>
      </c>
      <c r="S179" s="1">
        <f t="shared" si="33"/>
        <v>2</v>
      </c>
      <c r="T179" s="1">
        <f t="shared" si="34"/>
        <v>0</v>
      </c>
      <c r="U179" s="1">
        <f t="shared" si="35"/>
        <v>2</v>
      </c>
      <c r="V179" s="1">
        <f t="shared" si="36"/>
        <v>7</v>
      </c>
      <c r="W179" s="1" t="str">
        <f t="shared" si="37"/>
        <v>B1B</v>
      </c>
      <c r="X179" t="s">
        <v>39</v>
      </c>
      <c r="Y179" t="s">
        <v>39</v>
      </c>
      <c r="AJ179">
        <f t="shared" si="38"/>
        <v>111</v>
      </c>
      <c r="AK179">
        <f t="shared" si="39"/>
        <v>111</v>
      </c>
      <c r="AL179">
        <f t="shared" si="40"/>
        <v>7</v>
      </c>
      <c r="AM179">
        <f t="shared" si="30"/>
        <v>7</v>
      </c>
      <c r="AN179">
        <f t="shared" si="41"/>
        <v>7</v>
      </c>
      <c r="AO179">
        <f t="shared" si="42"/>
        <v>7</v>
      </c>
      <c r="AP179">
        <f t="shared" si="43"/>
        <v>0</v>
      </c>
      <c r="AQ179">
        <f t="shared" si="31"/>
        <v>0</v>
      </c>
      <c r="AR179">
        <f t="shared" si="44"/>
        <v>0</v>
      </c>
    </row>
    <row r="180" spans="1:44" x14ac:dyDescent="0.25">
      <c r="A180" t="s">
        <v>218</v>
      </c>
      <c r="B180" t="s">
        <v>5</v>
      </c>
      <c r="C180" t="s">
        <v>7</v>
      </c>
      <c r="F180" t="s">
        <v>1</v>
      </c>
      <c r="H180" t="s">
        <v>2</v>
      </c>
      <c r="I180" s="1" t="s">
        <v>5</v>
      </c>
      <c r="J180" s="1" t="s">
        <v>7</v>
      </c>
      <c r="K180" s="1"/>
      <c r="L180" s="1"/>
      <c r="M180" s="1" t="b">
        <v>0</v>
      </c>
      <c r="N180" s="1"/>
      <c r="O180">
        <v>0</v>
      </c>
      <c r="P180">
        <v>0</v>
      </c>
      <c r="Q180">
        <v>5</v>
      </c>
      <c r="R180" s="1">
        <f t="shared" si="32"/>
        <v>0</v>
      </c>
      <c r="S180" s="1">
        <f t="shared" si="33"/>
        <v>0</v>
      </c>
      <c r="T180" s="1">
        <f t="shared" si="34"/>
        <v>0</v>
      </c>
      <c r="U180" s="1">
        <f t="shared" si="35"/>
        <v>0</v>
      </c>
      <c r="V180" s="1">
        <f t="shared" si="36"/>
        <v>1</v>
      </c>
      <c r="W180" s="1" t="str">
        <f t="shared" si="37"/>
        <v>B1BWH</v>
      </c>
      <c r="X180" t="s">
        <v>39</v>
      </c>
      <c r="Y180" t="s">
        <v>39</v>
      </c>
      <c r="AJ180">
        <f t="shared" si="38"/>
        <v>1</v>
      </c>
      <c r="AK180">
        <f t="shared" si="39"/>
        <v>101</v>
      </c>
      <c r="AL180">
        <f t="shared" si="40"/>
        <v>1</v>
      </c>
      <c r="AM180">
        <f t="shared" si="30"/>
        <v>5</v>
      </c>
      <c r="AN180">
        <f t="shared" si="41"/>
        <v>1</v>
      </c>
      <c r="AO180">
        <f t="shared" si="42"/>
        <v>5</v>
      </c>
      <c r="AP180">
        <f t="shared" si="43"/>
        <v>0</v>
      </c>
      <c r="AQ180">
        <f t="shared" si="31"/>
        <v>0</v>
      </c>
      <c r="AR180">
        <f t="shared" si="44"/>
        <v>0</v>
      </c>
    </row>
    <row r="181" spans="1:44" x14ac:dyDescent="0.25">
      <c r="A181" t="s">
        <v>219</v>
      </c>
      <c r="B181" t="s">
        <v>5</v>
      </c>
      <c r="D181" t="s">
        <v>43</v>
      </c>
      <c r="F181" t="s">
        <v>1</v>
      </c>
      <c r="I181" s="1" t="s">
        <v>5</v>
      </c>
      <c r="J181" s="1"/>
      <c r="K181" s="1" t="s">
        <v>43</v>
      </c>
      <c r="L181" s="1"/>
      <c r="M181" s="1" t="b">
        <v>0</v>
      </c>
      <c r="N181" s="1"/>
      <c r="O181">
        <v>1</v>
      </c>
      <c r="P181">
        <v>0</v>
      </c>
      <c r="Q181">
        <v>1</v>
      </c>
      <c r="R181" s="1">
        <f t="shared" si="32"/>
        <v>1</v>
      </c>
      <c r="S181" s="1">
        <f t="shared" si="33"/>
        <v>0</v>
      </c>
      <c r="T181" s="1">
        <f t="shared" si="34"/>
        <v>0</v>
      </c>
      <c r="U181" s="1">
        <f t="shared" si="35"/>
        <v>0</v>
      </c>
      <c r="V181" s="1">
        <f t="shared" si="36"/>
        <v>2</v>
      </c>
      <c r="W181" s="1" t="str">
        <f t="shared" si="37"/>
        <v>B1BWH</v>
      </c>
      <c r="X181" t="s">
        <v>39</v>
      </c>
      <c r="Y181" t="s">
        <v>39</v>
      </c>
      <c r="AJ181">
        <f t="shared" si="38"/>
        <v>10</v>
      </c>
      <c r="AK181">
        <f t="shared" si="39"/>
        <v>1</v>
      </c>
      <c r="AL181">
        <f t="shared" si="40"/>
        <v>2</v>
      </c>
      <c r="AM181">
        <f t="shared" si="30"/>
        <v>1</v>
      </c>
      <c r="AN181">
        <f t="shared" si="41"/>
        <v>2</v>
      </c>
      <c r="AO181">
        <f t="shared" si="42"/>
        <v>1</v>
      </c>
      <c r="AP181">
        <f t="shared" si="43"/>
        <v>0</v>
      </c>
      <c r="AQ181">
        <f t="shared" si="31"/>
        <v>0</v>
      </c>
      <c r="AR181">
        <f t="shared" si="44"/>
        <v>0</v>
      </c>
    </row>
    <row r="182" spans="1:44" x14ac:dyDescent="0.25">
      <c r="A182" t="s">
        <v>220</v>
      </c>
      <c r="B182" t="s">
        <v>5</v>
      </c>
      <c r="C182" t="s">
        <v>7</v>
      </c>
      <c r="D182" t="s">
        <v>43</v>
      </c>
      <c r="F182" t="s">
        <v>1</v>
      </c>
      <c r="H182" t="s">
        <v>2</v>
      </c>
      <c r="I182" s="1" t="s">
        <v>5</v>
      </c>
      <c r="J182" s="1" t="s">
        <v>7</v>
      </c>
      <c r="K182" s="1" t="s">
        <v>43</v>
      </c>
      <c r="L182" s="1"/>
      <c r="M182" s="1" t="b">
        <v>0</v>
      </c>
      <c r="N182" s="1"/>
      <c r="O182">
        <v>1</v>
      </c>
      <c r="P182">
        <v>0</v>
      </c>
      <c r="Q182">
        <v>5</v>
      </c>
      <c r="R182" s="1">
        <f t="shared" si="32"/>
        <v>1</v>
      </c>
      <c r="S182" s="1">
        <f t="shared" si="33"/>
        <v>0</v>
      </c>
      <c r="T182" s="1">
        <f t="shared" si="34"/>
        <v>0</v>
      </c>
      <c r="U182" s="1">
        <f t="shared" si="35"/>
        <v>0</v>
      </c>
      <c r="V182" s="1">
        <f t="shared" si="36"/>
        <v>4</v>
      </c>
      <c r="W182" s="1" t="str">
        <f t="shared" si="37"/>
        <v>B1BWH</v>
      </c>
      <c r="X182" t="s">
        <v>39</v>
      </c>
      <c r="Y182" t="s">
        <v>39</v>
      </c>
      <c r="AJ182">
        <f t="shared" si="38"/>
        <v>11</v>
      </c>
      <c r="AK182">
        <f t="shared" si="39"/>
        <v>101</v>
      </c>
      <c r="AL182">
        <f t="shared" si="40"/>
        <v>4</v>
      </c>
      <c r="AM182">
        <f t="shared" si="30"/>
        <v>5</v>
      </c>
      <c r="AN182">
        <f t="shared" si="41"/>
        <v>4</v>
      </c>
      <c r="AO182">
        <f t="shared" si="42"/>
        <v>5</v>
      </c>
      <c r="AP182">
        <f t="shared" si="43"/>
        <v>0</v>
      </c>
      <c r="AQ182">
        <f t="shared" si="31"/>
        <v>0</v>
      </c>
      <c r="AR182">
        <f t="shared" si="44"/>
        <v>0</v>
      </c>
    </row>
    <row r="183" spans="1:44" x14ac:dyDescent="0.25">
      <c r="A183" t="s">
        <v>221</v>
      </c>
      <c r="B183" t="s">
        <v>5</v>
      </c>
      <c r="C183" t="s">
        <v>7</v>
      </c>
      <c r="E183" t="s">
        <v>43</v>
      </c>
      <c r="F183" t="s">
        <v>1</v>
      </c>
      <c r="H183" t="s">
        <v>2</v>
      </c>
      <c r="I183" s="1" t="s">
        <v>5</v>
      </c>
      <c r="J183" s="1" t="s">
        <v>7</v>
      </c>
      <c r="K183" s="1"/>
      <c r="L183" s="1" t="s">
        <v>43</v>
      </c>
      <c r="M183" s="1" t="b">
        <v>0</v>
      </c>
      <c r="N183" s="1"/>
      <c r="O183">
        <v>1</v>
      </c>
      <c r="P183">
        <v>0</v>
      </c>
      <c r="Q183">
        <v>5</v>
      </c>
      <c r="R183" s="1">
        <f t="shared" si="32"/>
        <v>1</v>
      </c>
      <c r="S183" s="1">
        <f t="shared" si="33"/>
        <v>0</v>
      </c>
      <c r="T183" s="1">
        <f t="shared" si="34"/>
        <v>0</v>
      </c>
      <c r="U183" s="1">
        <f t="shared" si="35"/>
        <v>0</v>
      </c>
      <c r="V183" s="1">
        <f t="shared" si="36"/>
        <v>5</v>
      </c>
      <c r="W183" s="1" t="str">
        <f t="shared" si="37"/>
        <v>B1BWH</v>
      </c>
      <c r="X183" t="s">
        <v>39</v>
      </c>
      <c r="Y183" t="s">
        <v>39</v>
      </c>
      <c r="AJ183">
        <f t="shared" si="38"/>
        <v>101</v>
      </c>
      <c r="AK183">
        <f t="shared" si="39"/>
        <v>101</v>
      </c>
      <c r="AL183">
        <f t="shared" si="40"/>
        <v>5</v>
      </c>
      <c r="AM183">
        <f t="shared" si="30"/>
        <v>5</v>
      </c>
      <c r="AN183">
        <f t="shared" si="41"/>
        <v>5</v>
      </c>
      <c r="AO183">
        <f t="shared" si="42"/>
        <v>5</v>
      </c>
      <c r="AP183">
        <f t="shared" si="43"/>
        <v>0</v>
      </c>
      <c r="AQ183">
        <f t="shared" si="31"/>
        <v>0</v>
      </c>
      <c r="AR183">
        <f t="shared" si="44"/>
        <v>0</v>
      </c>
    </row>
    <row r="184" spans="1:44" x14ac:dyDescent="0.25">
      <c r="A184" t="s">
        <v>222</v>
      </c>
      <c r="B184" t="s">
        <v>5</v>
      </c>
      <c r="D184" t="s">
        <v>43</v>
      </c>
      <c r="E184" t="s">
        <v>43</v>
      </c>
      <c r="F184" t="s">
        <v>1</v>
      </c>
      <c r="I184" s="1" t="s">
        <v>5</v>
      </c>
      <c r="J184" s="1"/>
      <c r="K184" s="1" t="s">
        <v>43</v>
      </c>
      <c r="L184" s="1" t="s">
        <v>43</v>
      </c>
      <c r="M184" s="1" t="b">
        <v>0</v>
      </c>
      <c r="N184" s="1"/>
      <c r="O184">
        <v>2</v>
      </c>
      <c r="P184">
        <v>0</v>
      </c>
      <c r="Q184">
        <v>1</v>
      </c>
      <c r="R184" s="1">
        <f t="shared" si="32"/>
        <v>2</v>
      </c>
      <c r="S184" s="1">
        <f t="shared" si="33"/>
        <v>0</v>
      </c>
      <c r="T184" s="1">
        <f t="shared" si="34"/>
        <v>0</v>
      </c>
      <c r="U184" s="1">
        <f t="shared" si="35"/>
        <v>0</v>
      </c>
      <c r="V184" s="1">
        <f t="shared" si="36"/>
        <v>6</v>
      </c>
      <c r="W184" s="1" t="str">
        <f t="shared" si="37"/>
        <v>B1BWH</v>
      </c>
      <c r="X184" t="s">
        <v>39</v>
      </c>
      <c r="Y184" t="s">
        <v>39</v>
      </c>
      <c r="AJ184">
        <f t="shared" si="38"/>
        <v>110</v>
      </c>
      <c r="AK184">
        <f t="shared" si="39"/>
        <v>1</v>
      </c>
      <c r="AL184">
        <f t="shared" si="40"/>
        <v>6</v>
      </c>
      <c r="AM184">
        <f t="shared" si="30"/>
        <v>1</v>
      </c>
      <c r="AN184">
        <f t="shared" si="41"/>
        <v>6</v>
      </c>
      <c r="AO184">
        <f t="shared" si="42"/>
        <v>1</v>
      </c>
      <c r="AP184">
        <f t="shared" si="43"/>
        <v>0</v>
      </c>
      <c r="AQ184">
        <f t="shared" si="31"/>
        <v>0</v>
      </c>
      <c r="AR184">
        <f t="shared" si="44"/>
        <v>0</v>
      </c>
    </row>
    <row r="185" spans="1:44" x14ac:dyDescent="0.25">
      <c r="A185" t="s">
        <v>223</v>
      </c>
      <c r="B185" t="s">
        <v>5</v>
      </c>
      <c r="C185" t="s">
        <v>7</v>
      </c>
      <c r="D185" t="s">
        <v>43</v>
      </c>
      <c r="E185" t="s">
        <v>43</v>
      </c>
      <c r="F185" t="s">
        <v>1</v>
      </c>
      <c r="H185" t="s">
        <v>2</v>
      </c>
      <c r="I185" s="1" t="s">
        <v>5</v>
      </c>
      <c r="J185" s="1" t="s">
        <v>7</v>
      </c>
      <c r="K185" s="1" t="s">
        <v>43</v>
      </c>
      <c r="L185" s="1" t="s">
        <v>43</v>
      </c>
      <c r="M185" s="1" t="b">
        <v>0</v>
      </c>
      <c r="N185" s="1"/>
      <c r="O185">
        <v>2</v>
      </c>
      <c r="P185">
        <v>0</v>
      </c>
      <c r="Q185">
        <v>5</v>
      </c>
      <c r="R185" s="1">
        <f t="shared" si="32"/>
        <v>2</v>
      </c>
      <c r="S185" s="1">
        <f t="shared" si="33"/>
        <v>0</v>
      </c>
      <c r="T185" s="1">
        <f t="shared" si="34"/>
        <v>0</v>
      </c>
      <c r="U185" s="1">
        <f t="shared" si="35"/>
        <v>0</v>
      </c>
      <c r="V185" s="1">
        <f t="shared" si="36"/>
        <v>7</v>
      </c>
      <c r="W185" s="1" t="str">
        <f t="shared" si="37"/>
        <v>B1BWH</v>
      </c>
      <c r="X185" t="s">
        <v>39</v>
      </c>
      <c r="Y185" t="s">
        <v>39</v>
      </c>
      <c r="AJ185">
        <f t="shared" si="38"/>
        <v>111</v>
      </c>
      <c r="AK185">
        <f t="shared" si="39"/>
        <v>101</v>
      </c>
      <c r="AL185">
        <f t="shared" si="40"/>
        <v>7</v>
      </c>
      <c r="AM185">
        <f t="shared" si="30"/>
        <v>5</v>
      </c>
      <c r="AN185">
        <f t="shared" si="41"/>
        <v>7</v>
      </c>
      <c r="AO185">
        <f t="shared" si="42"/>
        <v>5</v>
      </c>
      <c r="AP185">
        <f t="shared" si="43"/>
        <v>0</v>
      </c>
      <c r="AQ185">
        <f t="shared" si="31"/>
        <v>0</v>
      </c>
      <c r="AR185">
        <f t="shared" si="44"/>
        <v>0</v>
      </c>
    </row>
    <row r="186" spans="1:44" x14ac:dyDescent="0.25">
      <c r="A186" t="s">
        <v>224</v>
      </c>
      <c r="B186" t="s">
        <v>5</v>
      </c>
      <c r="C186" t="s">
        <v>7</v>
      </c>
      <c r="F186" t="s">
        <v>1</v>
      </c>
      <c r="H186" t="s">
        <v>2</v>
      </c>
      <c r="I186" s="1" t="s">
        <v>5</v>
      </c>
      <c r="J186" s="1" t="s">
        <v>7</v>
      </c>
      <c r="K186" s="1"/>
      <c r="L186" s="1"/>
      <c r="M186" s="1" t="b">
        <v>0</v>
      </c>
      <c r="N186" s="1"/>
      <c r="O186">
        <v>0</v>
      </c>
      <c r="P186">
        <v>1</v>
      </c>
      <c r="Q186">
        <v>5</v>
      </c>
      <c r="R186" s="1">
        <f t="shared" si="32"/>
        <v>0</v>
      </c>
      <c r="S186" s="1">
        <f t="shared" si="33"/>
        <v>1</v>
      </c>
      <c r="T186" s="1">
        <f t="shared" si="34"/>
        <v>0</v>
      </c>
      <c r="U186" s="1">
        <f t="shared" si="35"/>
        <v>1</v>
      </c>
      <c r="V186" s="1">
        <f t="shared" si="36"/>
        <v>1</v>
      </c>
      <c r="W186" s="1" t="str">
        <f t="shared" si="37"/>
        <v>B1BWH</v>
      </c>
      <c r="X186" t="s">
        <v>39</v>
      </c>
      <c r="Y186" t="s">
        <v>39</v>
      </c>
      <c r="AJ186">
        <f t="shared" si="38"/>
        <v>1</v>
      </c>
      <c r="AK186">
        <f t="shared" si="39"/>
        <v>101</v>
      </c>
      <c r="AL186">
        <f t="shared" si="40"/>
        <v>1</v>
      </c>
      <c r="AM186">
        <f t="shared" si="30"/>
        <v>5</v>
      </c>
      <c r="AN186">
        <f t="shared" si="41"/>
        <v>1</v>
      </c>
      <c r="AO186">
        <f t="shared" si="42"/>
        <v>5</v>
      </c>
      <c r="AP186">
        <f t="shared" si="43"/>
        <v>0</v>
      </c>
      <c r="AQ186">
        <f t="shared" si="31"/>
        <v>0</v>
      </c>
      <c r="AR186">
        <f t="shared" si="44"/>
        <v>0</v>
      </c>
    </row>
    <row r="187" spans="1:44" x14ac:dyDescent="0.25">
      <c r="A187" t="s">
        <v>225</v>
      </c>
      <c r="B187" t="s">
        <v>5</v>
      </c>
      <c r="D187" t="s">
        <v>43</v>
      </c>
      <c r="F187" t="s">
        <v>1</v>
      </c>
      <c r="I187" s="1" t="s">
        <v>5</v>
      </c>
      <c r="J187" s="1"/>
      <c r="K187" s="1" t="s">
        <v>43</v>
      </c>
      <c r="L187" s="1"/>
      <c r="M187" s="1" t="b">
        <v>0</v>
      </c>
      <c r="N187" s="1"/>
      <c r="O187">
        <v>1</v>
      </c>
      <c r="P187">
        <v>1</v>
      </c>
      <c r="Q187">
        <v>1</v>
      </c>
      <c r="R187" s="1">
        <f t="shared" si="32"/>
        <v>1</v>
      </c>
      <c r="S187" s="1">
        <f t="shared" si="33"/>
        <v>1</v>
      </c>
      <c r="T187" s="1">
        <f t="shared" si="34"/>
        <v>0</v>
      </c>
      <c r="U187" s="1">
        <f t="shared" si="35"/>
        <v>1</v>
      </c>
      <c r="V187" s="1">
        <f t="shared" si="36"/>
        <v>2</v>
      </c>
      <c r="W187" s="1" t="str">
        <f t="shared" si="37"/>
        <v>B1BWH</v>
      </c>
      <c r="X187" t="s">
        <v>39</v>
      </c>
      <c r="Y187" t="s">
        <v>39</v>
      </c>
      <c r="AJ187">
        <f t="shared" si="38"/>
        <v>10</v>
      </c>
      <c r="AK187">
        <f t="shared" si="39"/>
        <v>1</v>
      </c>
      <c r="AL187">
        <f t="shared" si="40"/>
        <v>2</v>
      </c>
      <c r="AM187">
        <f t="shared" si="30"/>
        <v>1</v>
      </c>
      <c r="AN187">
        <f t="shared" si="41"/>
        <v>2</v>
      </c>
      <c r="AO187">
        <f t="shared" si="42"/>
        <v>1</v>
      </c>
      <c r="AP187">
        <f t="shared" si="43"/>
        <v>0</v>
      </c>
      <c r="AQ187">
        <f t="shared" si="31"/>
        <v>0</v>
      </c>
      <c r="AR187">
        <f t="shared" si="44"/>
        <v>0</v>
      </c>
    </row>
    <row r="188" spans="1:44" x14ac:dyDescent="0.25">
      <c r="A188" t="s">
        <v>226</v>
      </c>
      <c r="B188" t="s">
        <v>5</v>
      </c>
      <c r="C188" t="s">
        <v>7</v>
      </c>
      <c r="D188" t="s">
        <v>43</v>
      </c>
      <c r="F188" t="s">
        <v>1</v>
      </c>
      <c r="H188" t="s">
        <v>2</v>
      </c>
      <c r="I188" s="1" t="s">
        <v>5</v>
      </c>
      <c r="J188" s="1" t="s">
        <v>7</v>
      </c>
      <c r="K188" s="1" t="s">
        <v>43</v>
      </c>
      <c r="L188" s="1"/>
      <c r="M188" s="1" t="b">
        <v>0</v>
      </c>
      <c r="N188" s="1"/>
      <c r="O188">
        <v>1</v>
      </c>
      <c r="P188">
        <v>1</v>
      </c>
      <c r="Q188">
        <v>5</v>
      </c>
      <c r="R188" s="1">
        <f t="shared" si="32"/>
        <v>1</v>
      </c>
      <c r="S188" s="1">
        <f t="shared" si="33"/>
        <v>1</v>
      </c>
      <c r="T188" s="1">
        <f t="shared" si="34"/>
        <v>0</v>
      </c>
      <c r="U188" s="1">
        <f t="shared" si="35"/>
        <v>1</v>
      </c>
      <c r="V188" s="1">
        <f t="shared" si="36"/>
        <v>4</v>
      </c>
      <c r="W188" s="1" t="str">
        <f t="shared" si="37"/>
        <v>B1BWH</v>
      </c>
      <c r="X188" t="s">
        <v>39</v>
      </c>
      <c r="Y188" t="s">
        <v>39</v>
      </c>
      <c r="AJ188">
        <f t="shared" si="38"/>
        <v>11</v>
      </c>
      <c r="AK188">
        <f t="shared" si="39"/>
        <v>101</v>
      </c>
      <c r="AL188">
        <f t="shared" si="40"/>
        <v>4</v>
      </c>
      <c r="AM188">
        <f t="shared" si="30"/>
        <v>5</v>
      </c>
      <c r="AN188">
        <f t="shared" si="41"/>
        <v>4</v>
      </c>
      <c r="AO188">
        <f t="shared" si="42"/>
        <v>5</v>
      </c>
      <c r="AP188">
        <f t="shared" si="43"/>
        <v>0</v>
      </c>
      <c r="AQ188">
        <f t="shared" si="31"/>
        <v>0</v>
      </c>
      <c r="AR188">
        <f t="shared" si="44"/>
        <v>0</v>
      </c>
    </row>
    <row r="189" spans="1:44" x14ac:dyDescent="0.25">
      <c r="A189" t="s">
        <v>227</v>
      </c>
      <c r="B189" t="s">
        <v>5</v>
      </c>
      <c r="C189" t="s">
        <v>7</v>
      </c>
      <c r="E189" t="s">
        <v>43</v>
      </c>
      <c r="F189" t="s">
        <v>1</v>
      </c>
      <c r="H189" t="s">
        <v>2</v>
      </c>
      <c r="I189" s="1" t="s">
        <v>5</v>
      </c>
      <c r="J189" s="1" t="s">
        <v>7</v>
      </c>
      <c r="K189" s="1"/>
      <c r="L189" s="1" t="s">
        <v>43</v>
      </c>
      <c r="M189" s="1" t="b">
        <v>0</v>
      </c>
      <c r="N189" s="1"/>
      <c r="O189">
        <v>1</v>
      </c>
      <c r="P189">
        <v>1</v>
      </c>
      <c r="Q189">
        <v>5</v>
      </c>
      <c r="R189" s="1">
        <f t="shared" si="32"/>
        <v>1</v>
      </c>
      <c r="S189" s="1">
        <f t="shared" si="33"/>
        <v>1</v>
      </c>
      <c r="T189" s="1">
        <f t="shared" si="34"/>
        <v>0</v>
      </c>
      <c r="U189" s="1">
        <f t="shared" si="35"/>
        <v>1</v>
      </c>
      <c r="V189" s="1">
        <f t="shared" si="36"/>
        <v>5</v>
      </c>
      <c r="W189" s="1" t="str">
        <f t="shared" si="37"/>
        <v>B1BWH</v>
      </c>
      <c r="X189" t="s">
        <v>39</v>
      </c>
      <c r="Y189" t="s">
        <v>39</v>
      </c>
      <c r="AJ189">
        <f t="shared" si="38"/>
        <v>101</v>
      </c>
      <c r="AK189">
        <f t="shared" si="39"/>
        <v>101</v>
      </c>
      <c r="AL189">
        <f t="shared" si="40"/>
        <v>5</v>
      </c>
      <c r="AM189">
        <f t="shared" si="30"/>
        <v>5</v>
      </c>
      <c r="AN189">
        <f t="shared" si="41"/>
        <v>5</v>
      </c>
      <c r="AO189">
        <f t="shared" si="42"/>
        <v>5</v>
      </c>
      <c r="AP189">
        <f t="shared" si="43"/>
        <v>0</v>
      </c>
      <c r="AQ189">
        <f t="shared" si="31"/>
        <v>0</v>
      </c>
      <c r="AR189">
        <f t="shared" si="44"/>
        <v>0</v>
      </c>
    </row>
    <row r="190" spans="1:44" x14ac:dyDescent="0.25">
      <c r="A190" t="s">
        <v>228</v>
      </c>
      <c r="B190" t="s">
        <v>5</v>
      </c>
      <c r="D190" t="s">
        <v>43</v>
      </c>
      <c r="E190" t="s">
        <v>43</v>
      </c>
      <c r="F190" t="s">
        <v>1</v>
      </c>
      <c r="I190" s="1" t="s">
        <v>5</v>
      </c>
      <c r="J190" s="1"/>
      <c r="K190" s="1" t="s">
        <v>43</v>
      </c>
      <c r="L190" s="1" t="s">
        <v>43</v>
      </c>
      <c r="M190" s="1" t="b">
        <v>0</v>
      </c>
      <c r="N190" s="1"/>
      <c r="O190">
        <v>2</v>
      </c>
      <c r="P190">
        <v>1</v>
      </c>
      <c r="Q190">
        <v>1</v>
      </c>
      <c r="R190" s="1">
        <f t="shared" si="32"/>
        <v>2</v>
      </c>
      <c r="S190" s="1">
        <f t="shared" si="33"/>
        <v>1</v>
      </c>
      <c r="T190" s="1">
        <f t="shared" si="34"/>
        <v>0</v>
      </c>
      <c r="U190" s="1">
        <f t="shared" si="35"/>
        <v>1</v>
      </c>
      <c r="V190" s="1">
        <f t="shared" si="36"/>
        <v>6</v>
      </c>
      <c r="W190" s="1" t="str">
        <f t="shared" si="37"/>
        <v>B1BWH</v>
      </c>
      <c r="X190" t="s">
        <v>39</v>
      </c>
      <c r="Y190" t="s">
        <v>39</v>
      </c>
      <c r="AJ190">
        <f t="shared" si="38"/>
        <v>110</v>
      </c>
      <c r="AK190">
        <f t="shared" si="39"/>
        <v>1</v>
      </c>
      <c r="AL190">
        <f t="shared" si="40"/>
        <v>6</v>
      </c>
      <c r="AM190">
        <f t="shared" si="30"/>
        <v>1</v>
      </c>
      <c r="AN190">
        <f t="shared" si="41"/>
        <v>6</v>
      </c>
      <c r="AO190">
        <f t="shared" si="42"/>
        <v>1</v>
      </c>
      <c r="AP190">
        <f t="shared" si="43"/>
        <v>0</v>
      </c>
      <c r="AQ190">
        <f t="shared" si="31"/>
        <v>0</v>
      </c>
      <c r="AR190">
        <f t="shared" si="44"/>
        <v>0</v>
      </c>
    </row>
    <row r="191" spans="1:44" x14ac:dyDescent="0.25">
      <c r="A191" t="s">
        <v>229</v>
      </c>
      <c r="B191" t="s">
        <v>5</v>
      </c>
      <c r="C191" t="s">
        <v>7</v>
      </c>
      <c r="D191" t="s">
        <v>43</v>
      </c>
      <c r="E191" t="s">
        <v>43</v>
      </c>
      <c r="F191" t="s">
        <v>1</v>
      </c>
      <c r="H191" t="s">
        <v>2</v>
      </c>
      <c r="I191" s="1" t="s">
        <v>5</v>
      </c>
      <c r="J191" s="1" t="s">
        <v>7</v>
      </c>
      <c r="K191" s="1" t="s">
        <v>43</v>
      </c>
      <c r="L191" s="1" t="s">
        <v>43</v>
      </c>
      <c r="M191" s="1" t="b">
        <v>0</v>
      </c>
      <c r="N191" s="1"/>
      <c r="O191">
        <v>2</v>
      </c>
      <c r="P191">
        <v>1</v>
      </c>
      <c r="Q191">
        <v>5</v>
      </c>
      <c r="R191" s="1">
        <f t="shared" si="32"/>
        <v>2</v>
      </c>
      <c r="S191" s="1">
        <f t="shared" si="33"/>
        <v>1</v>
      </c>
      <c r="T191" s="1">
        <f t="shared" si="34"/>
        <v>0</v>
      </c>
      <c r="U191" s="1">
        <f t="shared" si="35"/>
        <v>1</v>
      </c>
      <c r="V191" s="1">
        <f t="shared" si="36"/>
        <v>7</v>
      </c>
      <c r="W191" s="1" t="str">
        <f t="shared" si="37"/>
        <v>B1BWH</v>
      </c>
      <c r="X191" t="s">
        <v>39</v>
      </c>
      <c r="Y191" t="s">
        <v>39</v>
      </c>
      <c r="AJ191">
        <f t="shared" si="38"/>
        <v>111</v>
      </c>
      <c r="AK191">
        <f t="shared" si="39"/>
        <v>101</v>
      </c>
      <c r="AL191">
        <f t="shared" si="40"/>
        <v>7</v>
      </c>
      <c r="AM191">
        <f t="shared" si="30"/>
        <v>5</v>
      </c>
      <c r="AN191">
        <f t="shared" si="41"/>
        <v>7</v>
      </c>
      <c r="AO191">
        <f t="shared" si="42"/>
        <v>5</v>
      </c>
      <c r="AP191">
        <f t="shared" si="43"/>
        <v>0</v>
      </c>
      <c r="AQ191">
        <f t="shared" si="31"/>
        <v>0</v>
      </c>
      <c r="AR191">
        <f t="shared" si="44"/>
        <v>0</v>
      </c>
    </row>
    <row r="192" spans="1:44" x14ac:dyDescent="0.25">
      <c r="A192" t="s">
        <v>230</v>
      </c>
      <c r="B192" t="s">
        <v>5</v>
      </c>
      <c r="C192" t="s">
        <v>7</v>
      </c>
      <c r="F192" t="s">
        <v>1</v>
      </c>
      <c r="H192" t="s">
        <v>2</v>
      </c>
      <c r="I192" s="1" t="s">
        <v>5</v>
      </c>
      <c r="J192" s="1" t="s">
        <v>7</v>
      </c>
      <c r="K192" s="1"/>
      <c r="L192" s="1"/>
      <c r="M192" s="1" t="b">
        <v>0</v>
      </c>
      <c r="N192" s="1"/>
      <c r="O192">
        <v>0</v>
      </c>
      <c r="P192">
        <v>2</v>
      </c>
      <c r="Q192">
        <v>5</v>
      </c>
      <c r="R192" s="1">
        <f t="shared" si="32"/>
        <v>0</v>
      </c>
      <c r="S192" s="1">
        <f t="shared" si="33"/>
        <v>2</v>
      </c>
      <c r="T192" s="1">
        <f t="shared" si="34"/>
        <v>0</v>
      </c>
      <c r="U192" s="1">
        <f t="shared" si="35"/>
        <v>2</v>
      </c>
      <c r="V192" s="1">
        <f t="shared" si="36"/>
        <v>1</v>
      </c>
      <c r="W192" s="1" t="str">
        <f t="shared" si="37"/>
        <v>B1BWH</v>
      </c>
      <c r="X192" t="s">
        <v>39</v>
      </c>
      <c r="Y192" t="s">
        <v>39</v>
      </c>
      <c r="AJ192">
        <f t="shared" si="38"/>
        <v>1</v>
      </c>
      <c r="AK192">
        <f t="shared" si="39"/>
        <v>101</v>
      </c>
      <c r="AL192">
        <f t="shared" si="40"/>
        <v>1</v>
      </c>
      <c r="AM192">
        <f t="shared" si="30"/>
        <v>5</v>
      </c>
      <c r="AN192">
        <f t="shared" si="41"/>
        <v>1</v>
      </c>
      <c r="AO192">
        <f t="shared" si="42"/>
        <v>5</v>
      </c>
      <c r="AP192">
        <f t="shared" si="43"/>
        <v>0</v>
      </c>
      <c r="AQ192">
        <f t="shared" si="31"/>
        <v>0</v>
      </c>
      <c r="AR192">
        <f t="shared" si="44"/>
        <v>0</v>
      </c>
    </row>
    <row r="193" spans="1:44" x14ac:dyDescent="0.25">
      <c r="A193" t="s">
        <v>231</v>
      </c>
      <c r="B193" t="s">
        <v>5</v>
      </c>
      <c r="D193" t="s">
        <v>43</v>
      </c>
      <c r="F193" t="s">
        <v>1</v>
      </c>
      <c r="I193" s="1" t="s">
        <v>5</v>
      </c>
      <c r="J193" s="1"/>
      <c r="K193" s="1" t="s">
        <v>43</v>
      </c>
      <c r="L193" s="1"/>
      <c r="M193" s="1" t="b">
        <v>0</v>
      </c>
      <c r="N193" s="1"/>
      <c r="O193">
        <v>1</v>
      </c>
      <c r="P193">
        <v>2</v>
      </c>
      <c r="Q193">
        <v>1</v>
      </c>
      <c r="R193" s="1">
        <f t="shared" si="32"/>
        <v>1</v>
      </c>
      <c r="S193" s="1">
        <f t="shared" si="33"/>
        <v>2</v>
      </c>
      <c r="T193" s="1">
        <f t="shared" si="34"/>
        <v>0</v>
      </c>
      <c r="U193" s="1">
        <f t="shared" si="35"/>
        <v>2</v>
      </c>
      <c r="V193" s="1">
        <f t="shared" si="36"/>
        <v>2</v>
      </c>
      <c r="W193" s="1" t="str">
        <f t="shared" si="37"/>
        <v>B1BWH</v>
      </c>
      <c r="X193" t="s">
        <v>39</v>
      </c>
      <c r="Y193" t="s">
        <v>39</v>
      </c>
      <c r="AJ193">
        <f t="shared" si="38"/>
        <v>10</v>
      </c>
      <c r="AK193">
        <f t="shared" si="39"/>
        <v>1</v>
      </c>
      <c r="AL193">
        <f t="shared" si="40"/>
        <v>2</v>
      </c>
      <c r="AM193">
        <f t="shared" si="30"/>
        <v>1</v>
      </c>
      <c r="AN193">
        <f t="shared" si="41"/>
        <v>2</v>
      </c>
      <c r="AO193">
        <f t="shared" si="42"/>
        <v>1</v>
      </c>
      <c r="AP193">
        <f t="shared" si="43"/>
        <v>0</v>
      </c>
      <c r="AQ193">
        <f t="shared" si="31"/>
        <v>0</v>
      </c>
      <c r="AR193">
        <f t="shared" si="44"/>
        <v>0</v>
      </c>
    </row>
    <row r="194" spans="1:44" x14ac:dyDescent="0.25">
      <c r="A194" t="s">
        <v>232</v>
      </c>
      <c r="B194" t="s">
        <v>5</v>
      </c>
      <c r="C194" t="s">
        <v>7</v>
      </c>
      <c r="D194" t="s">
        <v>43</v>
      </c>
      <c r="F194" t="s">
        <v>1</v>
      </c>
      <c r="H194" t="s">
        <v>2</v>
      </c>
      <c r="I194" s="1" t="s">
        <v>5</v>
      </c>
      <c r="J194" s="1" t="s">
        <v>7</v>
      </c>
      <c r="K194" s="1" t="s">
        <v>43</v>
      </c>
      <c r="L194" s="1"/>
      <c r="M194" s="1" t="b">
        <v>0</v>
      </c>
      <c r="N194" s="1"/>
      <c r="O194">
        <v>1</v>
      </c>
      <c r="P194">
        <v>2</v>
      </c>
      <c r="Q194">
        <v>5</v>
      </c>
      <c r="R194" s="1">
        <f t="shared" si="32"/>
        <v>1</v>
      </c>
      <c r="S194" s="1">
        <f t="shared" si="33"/>
        <v>2</v>
      </c>
      <c r="T194" s="1">
        <f t="shared" si="34"/>
        <v>0</v>
      </c>
      <c r="U194" s="1">
        <f t="shared" si="35"/>
        <v>2</v>
      </c>
      <c r="V194" s="1">
        <f t="shared" si="36"/>
        <v>4</v>
      </c>
      <c r="W194" s="1" t="str">
        <f t="shared" si="37"/>
        <v>B1BWH</v>
      </c>
      <c r="X194" t="s">
        <v>39</v>
      </c>
      <c r="Y194" t="s">
        <v>39</v>
      </c>
      <c r="AJ194">
        <f t="shared" si="38"/>
        <v>11</v>
      </c>
      <c r="AK194">
        <f t="shared" si="39"/>
        <v>101</v>
      </c>
      <c r="AL194">
        <f t="shared" si="40"/>
        <v>4</v>
      </c>
      <c r="AM194">
        <f t="shared" si="30"/>
        <v>5</v>
      </c>
      <c r="AN194">
        <f t="shared" si="41"/>
        <v>4</v>
      </c>
      <c r="AO194">
        <f t="shared" si="42"/>
        <v>5</v>
      </c>
      <c r="AP194">
        <f t="shared" si="43"/>
        <v>0</v>
      </c>
      <c r="AQ194">
        <f t="shared" si="31"/>
        <v>0</v>
      </c>
      <c r="AR194">
        <f t="shared" si="44"/>
        <v>0</v>
      </c>
    </row>
    <row r="195" spans="1:44" x14ac:dyDescent="0.25">
      <c r="A195" t="s">
        <v>233</v>
      </c>
      <c r="B195" t="s">
        <v>5</v>
      </c>
      <c r="C195" t="s">
        <v>7</v>
      </c>
      <c r="E195" t="s">
        <v>43</v>
      </c>
      <c r="F195" t="s">
        <v>1</v>
      </c>
      <c r="H195" t="s">
        <v>2</v>
      </c>
      <c r="I195" s="1" t="s">
        <v>5</v>
      </c>
      <c r="J195" s="1" t="s">
        <v>7</v>
      </c>
      <c r="K195" s="1"/>
      <c r="L195" s="1" t="s">
        <v>43</v>
      </c>
      <c r="M195" s="1" t="b">
        <v>0</v>
      </c>
      <c r="N195" s="1"/>
      <c r="O195">
        <v>1</v>
      </c>
      <c r="P195">
        <v>2</v>
      </c>
      <c r="Q195">
        <v>5</v>
      </c>
      <c r="R195" s="1">
        <f t="shared" si="32"/>
        <v>1</v>
      </c>
      <c r="S195" s="1">
        <f t="shared" si="33"/>
        <v>2</v>
      </c>
      <c r="T195" s="1">
        <f t="shared" si="34"/>
        <v>0</v>
      </c>
      <c r="U195" s="1">
        <f t="shared" si="35"/>
        <v>2</v>
      </c>
      <c r="V195" s="1">
        <f t="shared" si="36"/>
        <v>5</v>
      </c>
      <c r="W195" s="1" t="str">
        <f t="shared" si="37"/>
        <v>B1BWH</v>
      </c>
      <c r="X195" t="s">
        <v>39</v>
      </c>
      <c r="Y195" t="s">
        <v>39</v>
      </c>
      <c r="AJ195">
        <f t="shared" si="38"/>
        <v>101</v>
      </c>
      <c r="AK195">
        <f t="shared" si="39"/>
        <v>101</v>
      </c>
      <c r="AL195">
        <f t="shared" si="40"/>
        <v>5</v>
      </c>
      <c r="AM195">
        <f t="shared" ref="AM195:AM258" si="45">INDEX($AU$3:$AU$10,MATCH(AK195,$AT$3:$AT$10,0))</f>
        <v>5</v>
      </c>
      <c r="AN195">
        <f t="shared" si="41"/>
        <v>5</v>
      </c>
      <c r="AO195">
        <f t="shared" si="42"/>
        <v>5</v>
      </c>
      <c r="AP195">
        <f t="shared" si="43"/>
        <v>0</v>
      </c>
      <c r="AQ195">
        <f t="shared" ref="AQ195:AQ258" si="46">N(AM195&lt;&gt;AO195)</f>
        <v>0</v>
      </c>
      <c r="AR195">
        <f t="shared" si="44"/>
        <v>0</v>
      </c>
    </row>
    <row r="196" spans="1:44" x14ac:dyDescent="0.25">
      <c r="A196" t="s">
        <v>234</v>
      </c>
      <c r="B196" t="s">
        <v>5</v>
      </c>
      <c r="D196" t="s">
        <v>43</v>
      </c>
      <c r="E196" t="s">
        <v>43</v>
      </c>
      <c r="F196" t="s">
        <v>1</v>
      </c>
      <c r="I196" s="1" t="s">
        <v>5</v>
      </c>
      <c r="J196" s="1"/>
      <c r="K196" s="1" t="s">
        <v>43</v>
      </c>
      <c r="L196" s="1" t="s">
        <v>43</v>
      </c>
      <c r="M196" s="1" t="b">
        <v>0</v>
      </c>
      <c r="N196" s="1"/>
      <c r="O196">
        <v>2</v>
      </c>
      <c r="P196">
        <v>2</v>
      </c>
      <c r="Q196">
        <v>1</v>
      </c>
      <c r="R196" s="1">
        <f t="shared" ref="R196:R259" si="47">COUNTIF(B196:E196,"b4")</f>
        <v>2</v>
      </c>
      <c r="S196" s="1">
        <f t="shared" ref="S196:S259" si="48">VALUE(LEFT(A196,1))</f>
        <v>2</v>
      </c>
      <c r="T196" s="1">
        <f t="shared" ref="T196:T259" si="49">COUNTIF(B196:E196,0)</f>
        <v>0</v>
      </c>
      <c r="U196" s="1">
        <f t="shared" ref="U196:U259" si="50">S196+T196</f>
        <v>2</v>
      </c>
      <c r="V196" s="1">
        <f t="shared" ref="V196:V259" si="51">VALUE(_xlfn.TEXTBEFORE(_xlfn.TEXTAFTER(A196,"_"),"_"))</f>
        <v>6</v>
      </c>
      <c r="W196" s="1" t="str">
        <f t="shared" ref="W196:W259" si="52">_xlfn.TEXTAFTER(A196,"_",-1)</f>
        <v>B1BWH</v>
      </c>
      <c r="X196" t="s">
        <v>39</v>
      </c>
      <c r="Y196" t="s">
        <v>39</v>
      </c>
      <c r="AJ196">
        <f t="shared" ref="AJ196:AJ259" si="53">VALUE(IF(E196&lt;&gt;"","1","0")&amp;IF(D196&lt;&gt;"","1","0")&amp;IF(C196&lt;&gt;"","1","0"))</f>
        <v>110</v>
      </c>
      <c r="AK196">
        <f t="shared" ref="AK196:AK259" si="54">VALUE(IF(H196&lt;&gt;"","1","0")&amp;IF(G196&lt;&gt;"","1","0")&amp;IF(F196&lt;&gt;"","1","0"))</f>
        <v>1</v>
      </c>
      <c r="AL196">
        <f t="shared" ref="AL196:AL259" si="55">INDEX($AU$3:$AU$10,MATCH(AJ196,$AT$3:$AT$10,0))</f>
        <v>6</v>
      </c>
      <c r="AM196">
        <f t="shared" si="45"/>
        <v>1</v>
      </c>
      <c r="AN196">
        <f t="shared" ref="AN196:AN259" si="56">VALUE(_xlfn.TEXTBEFORE(_xlfn.TEXTAFTER(A196,"_"),"_"))</f>
        <v>6</v>
      </c>
      <c r="AO196">
        <f t="shared" ref="AO196:AO259" si="57">Q196</f>
        <v>1</v>
      </c>
      <c r="AP196">
        <f t="shared" ref="AP196:AP259" si="58">N(AL196&lt;&gt;AN196)</f>
        <v>0</v>
      </c>
      <c r="AQ196">
        <f t="shared" si="46"/>
        <v>0</v>
      </c>
      <c r="AR196">
        <f t="shared" ref="AR196:AR259" si="59">N(OR(AP196,AQ196))</f>
        <v>0</v>
      </c>
    </row>
    <row r="197" spans="1:44" x14ac:dyDescent="0.25">
      <c r="A197" t="s">
        <v>235</v>
      </c>
      <c r="B197" t="s">
        <v>5</v>
      </c>
      <c r="C197" t="s">
        <v>7</v>
      </c>
      <c r="D197" t="s">
        <v>43</v>
      </c>
      <c r="E197" t="s">
        <v>43</v>
      </c>
      <c r="F197" t="s">
        <v>1</v>
      </c>
      <c r="H197" t="s">
        <v>2</v>
      </c>
      <c r="I197" s="1" t="s">
        <v>5</v>
      </c>
      <c r="J197" s="1" t="s">
        <v>7</v>
      </c>
      <c r="K197" s="1" t="s">
        <v>43</v>
      </c>
      <c r="L197" s="1" t="s">
        <v>43</v>
      </c>
      <c r="M197" s="1" t="b">
        <v>0</v>
      </c>
      <c r="N197" s="1"/>
      <c r="O197">
        <v>2</v>
      </c>
      <c r="P197">
        <v>2</v>
      </c>
      <c r="Q197">
        <v>5</v>
      </c>
      <c r="R197" s="1">
        <f t="shared" si="47"/>
        <v>2</v>
      </c>
      <c r="S197" s="1">
        <f t="shared" si="48"/>
        <v>2</v>
      </c>
      <c r="T197" s="1">
        <f t="shared" si="49"/>
        <v>0</v>
      </c>
      <c r="U197" s="1">
        <f t="shared" si="50"/>
        <v>2</v>
      </c>
      <c r="V197" s="1">
        <f t="shared" si="51"/>
        <v>7</v>
      </c>
      <c r="W197" s="1" t="str">
        <f t="shared" si="52"/>
        <v>B1BWH</v>
      </c>
      <c r="X197" t="s">
        <v>39</v>
      </c>
      <c r="Y197" t="s">
        <v>39</v>
      </c>
      <c r="AJ197">
        <f t="shared" si="53"/>
        <v>111</v>
      </c>
      <c r="AK197">
        <f t="shared" si="54"/>
        <v>101</v>
      </c>
      <c r="AL197">
        <f t="shared" si="55"/>
        <v>7</v>
      </c>
      <c r="AM197">
        <f t="shared" si="45"/>
        <v>5</v>
      </c>
      <c r="AN197">
        <f t="shared" si="56"/>
        <v>7</v>
      </c>
      <c r="AO197">
        <f t="shared" si="57"/>
        <v>5</v>
      </c>
      <c r="AP197">
        <f t="shared" si="58"/>
        <v>0</v>
      </c>
      <c r="AQ197">
        <f t="shared" si="46"/>
        <v>0</v>
      </c>
      <c r="AR197">
        <f t="shared" si="59"/>
        <v>0</v>
      </c>
    </row>
    <row r="198" spans="1:44" x14ac:dyDescent="0.25">
      <c r="A198" t="s">
        <v>236</v>
      </c>
      <c r="B198" t="s">
        <v>5</v>
      </c>
      <c r="F198" t="s">
        <v>1</v>
      </c>
      <c r="I198" s="1" t="s">
        <v>5</v>
      </c>
      <c r="J198" s="1"/>
      <c r="K198" s="1"/>
      <c r="L198" s="1"/>
      <c r="M198" s="1" t="b">
        <v>0</v>
      </c>
      <c r="N198" s="1"/>
      <c r="O198">
        <v>0</v>
      </c>
      <c r="P198">
        <v>0</v>
      </c>
      <c r="Q198">
        <v>1</v>
      </c>
      <c r="R198" s="1">
        <f t="shared" si="47"/>
        <v>0</v>
      </c>
      <c r="S198" s="1">
        <f t="shared" si="48"/>
        <v>0</v>
      </c>
      <c r="T198" s="1">
        <f t="shared" si="49"/>
        <v>0</v>
      </c>
      <c r="U198" s="1">
        <f t="shared" si="50"/>
        <v>0</v>
      </c>
      <c r="V198" s="1">
        <f t="shared" si="51"/>
        <v>0</v>
      </c>
      <c r="W198" s="1" t="str">
        <f t="shared" si="52"/>
        <v>BB</v>
      </c>
      <c r="X198" t="s">
        <v>149</v>
      </c>
      <c r="Y198" t="s">
        <v>149</v>
      </c>
      <c r="AJ198">
        <f t="shared" si="53"/>
        <v>0</v>
      </c>
      <c r="AK198">
        <f t="shared" si="54"/>
        <v>1</v>
      </c>
      <c r="AL198">
        <f t="shared" si="55"/>
        <v>0</v>
      </c>
      <c r="AM198">
        <f t="shared" si="45"/>
        <v>1</v>
      </c>
      <c r="AN198">
        <f t="shared" si="56"/>
        <v>0</v>
      </c>
      <c r="AO198">
        <f t="shared" si="57"/>
        <v>1</v>
      </c>
      <c r="AP198">
        <f t="shared" si="58"/>
        <v>0</v>
      </c>
      <c r="AQ198">
        <f t="shared" si="46"/>
        <v>0</v>
      </c>
      <c r="AR198">
        <f t="shared" si="59"/>
        <v>0</v>
      </c>
    </row>
    <row r="199" spans="1:44" x14ac:dyDescent="0.25">
      <c r="A199" t="s">
        <v>237</v>
      </c>
      <c r="B199" t="s">
        <v>5</v>
      </c>
      <c r="C199" t="s">
        <v>6</v>
      </c>
      <c r="F199" t="s">
        <v>1</v>
      </c>
      <c r="G199" t="s">
        <v>2</v>
      </c>
      <c r="I199" s="1" t="s">
        <v>5</v>
      </c>
      <c r="J199" s="1" t="s">
        <v>6</v>
      </c>
      <c r="K199" s="1"/>
      <c r="L199" s="1"/>
      <c r="M199" s="1" t="b">
        <v>0</v>
      </c>
      <c r="N199" s="1"/>
      <c r="O199">
        <v>0</v>
      </c>
      <c r="P199">
        <v>0</v>
      </c>
      <c r="Q199">
        <v>4</v>
      </c>
      <c r="R199" s="1">
        <f t="shared" si="47"/>
        <v>0</v>
      </c>
      <c r="S199" s="1">
        <f t="shared" si="48"/>
        <v>0</v>
      </c>
      <c r="T199" s="1">
        <f t="shared" si="49"/>
        <v>0</v>
      </c>
      <c r="U199" s="1">
        <f t="shared" si="50"/>
        <v>0</v>
      </c>
      <c r="V199" s="1">
        <f t="shared" si="51"/>
        <v>1</v>
      </c>
      <c r="W199" s="1" t="str">
        <f t="shared" si="52"/>
        <v>BB</v>
      </c>
      <c r="X199" t="s">
        <v>149</v>
      </c>
      <c r="Y199" t="s">
        <v>149</v>
      </c>
      <c r="AJ199">
        <f t="shared" si="53"/>
        <v>1</v>
      </c>
      <c r="AK199">
        <f t="shared" si="54"/>
        <v>11</v>
      </c>
      <c r="AL199">
        <f t="shared" si="55"/>
        <v>1</v>
      </c>
      <c r="AM199">
        <f t="shared" si="45"/>
        <v>4</v>
      </c>
      <c r="AN199">
        <f t="shared" si="56"/>
        <v>1</v>
      </c>
      <c r="AO199">
        <f t="shared" si="57"/>
        <v>4</v>
      </c>
      <c r="AP199">
        <f t="shared" si="58"/>
        <v>0</v>
      </c>
      <c r="AQ199">
        <f t="shared" si="46"/>
        <v>0</v>
      </c>
      <c r="AR199">
        <f t="shared" si="59"/>
        <v>0</v>
      </c>
    </row>
    <row r="200" spans="1:44" x14ac:dyDescent="0.25">
      <c r="A200" t="s">
        <v>238</v>
      </c>
      <c r="B200" t="s">
        <v>5</v>
      </c>
      <c r="D200" t="s">
        <v>6</v>
      </c>
      <c r="F200" t="s">
        <v>1</v>
      </c>
      <c r="G200" t="s">
        <v>3</v>
      </c>
      <c r="I200" s="1" t="s">
        <v>5</v>
      </c>
      <c r="J200" s="1"/>
      <c r="K200" s="1" t="s">
        <v>6</v>
      </c>
      <c r="L200" s="1"/>
      <c r="M200" s="1" t="b">
        <v>0</v>
      </c>
      <c r="N200" s="1"/>
      <c r="O200">
        <v>0</v>
      </c>
      <c r="P200">
        <v>0</v>
      </c>
      <c r="Q200">
        <v>4</v>
      </c>
      <c r="R200" s="1">
        <f t="shared" si="47"/>
        <v>0</v>
      </c>
      <c r="S200" s="1">
        <f t="shared" si="48"/>
        <v>0</v>
      </c>
      <c r="T200" s="1">
        <f t="shared" si="49"/>
        <v>0</v>
      </c>
      <c r="U200" s="1">
        <f t="shared" si="50"/>
        <v>0</v>
      </c>
      <c r="V200" s="1">
        <f t="shared" si="51"/>
        <v>2</v>
      </c>
      <c r="W200" s="1" t="str">
        <f t="shared" si="52"/>
        <v>BB</v>
      </c>
      <c r="X200" t="s">
        <v>149</v>
      </c>
      <c r="Y200" t="s">
        <v>149</v>
      </c>
      <c r="AJ200">
        <f t="shared" si="53"/>
        <v>10</v>
      </c>
      <c r="AK200">
        <f t="shared" si="54"/>
        <v>11</v>
      </c>
      <c r="AL200">
        <f t="shared" si="55"/>
        <v>2</v>
      </c>
      <c r="AM200">
        <f t="shared" si="45"/>
        <v>4</v>
      </c>
      <c r="AN200">
        <f t="shared" si="56"/>
        <v>2</v>
      </c>
      <c r="AO200">
        <f t="shared" si="57"/>
        <v>4</v>
      </c>
      <c r="AP200">
        <f t="shared" si="58"/>
        <v>0</v>
      </c>
      <c r="AQ200">
        <f t="shared" si="46"/>
        <v>0</v>
      </c>
      <c r="AR200">
        <f t="shared" si="59"/>
        <v>0</v>
      </c>
    </row>
    <row r="201" spans="1:44" x14ac:dyDescent="0.25">
      <c r="A201" t="s">
        <v>239</v>
      </c>
      <c r="B201" t="s">
        <v>5</v>
      </c>
      <c r="E201" t="s">
        <v>7</v>
      </c>
      <c r="F201" t="s">
        <v>1</v>
      </c>
      <c r="H201" t="s">
        <v>4</v>
      </c>
      <c r="I201" s="1" t="s">
        <v>5</v>
      </c>
      <c r="J201" s="1"/>
      <c r="K201" s="1"/>
      <c r="L201" s="1" t="s">
        <v>7</v>
      </c>
      <c r="M201" s="1" t="b">
        <v>0</v>
      </c>
      <c r="N201" s="1"/>
      <c r="O201">
        <v>0</v>
      </c>
      <c r="P201">
        <v>0</v>
      </c>
      <c r="Q201">
        <v>5</v>
      </c>
      <c r="R201" s="1">
        <f t="shared" si="47"/>
        <v>0</v>
      </c>
      <c r="S201" s="1">
        <f t="shared" si="48"/>
        <v>0</v>
      </c>
      <c r="T201" s="1">
        <f t="shared" si="49"/>
        <v>0</v>
      </c>
      <c r="U201" s="1">
        <f t="shared" si="50"/>
        <v>0</v>
      </c>
      <c r="V201" s="1">
        <f t="shared" si="51"/>
        <v>3</v>
      </c>
      <c r="W201" s="1" t="str">
        <f t="shared" si="52"/>
        <v>BB</v>
      </c>
      <c r="X201" t="s">
        <v>149</v>
      </c>
      <c r="Y201" t="s">
        <v>149</v>
      </c>
      <c r="AJ201">
        <f t="shared" si="53"/>
        <v>100</v>
      </c>
      <c r="AK201">
        <f t="shared" si="54"/>
        <v>101</v>
      </c>
      <c r="AL201">
        <f t="shared" si="55"/>
        <v>3</v>
      </c>
      <c r="AM201">
        <f t="shared" si="45"/>
        <v>5</v>
      </c>
      <c r="AN201">
        <f t="shared" si="56"/>
        <v>3</v>
      </c>
      <c r="AO201">
        <f t="shared" si="57"/>
        <v>5</v>
      </c>
      <c r="AP201">
        <f t="shared" si="58"/>
        <v>0</v>
      </c>
      <c r="AQ201">
        <f t="shared" si="46"/>
        <v>0</v>
      </c>
      <c r="AR201">
        <f t="shared" si="59"/>
        <v>0</v>
      </c>
    </row>
    <row r="202" spans="1:44" x14ac:dyDescent="0.25">
      <c r="A202" t="s">
        <v>240</v>
      </c>
      <c r="B202" t="s">
        <v>5</v>
      </c>
      <c r="C202" t="s">
        <v>6</v>
      </c>
      <c r="D202" t="s">
        <v>7</v>
      </c>
      <c r="F202" t="s">
        <v>1</v>
      </c>
      <c r="G202" t="s">
        <v>2</v>
      </c>
      <c r="H202" t="s">
        <v>3</v>
      </c>
      <c r="I202" s="1" t="s">
        <v>5</v>
      </c>
      <c r="J202" s="1" t="s">
        <v>6</v>
      </c>
      <c r="K202" s="1" t="s">
        <v>7</v>
      </c>
      <c r="L202" s="1"/>
      <c r="M202" s="1" t="b">
        <v>0</v>
      </c>
      <c r="N202" s="1"/>
      <c r="O202">
        <v>0</v>
      </c>
      <c r="P202">
        <v>0</v>
      </c>
      <c r="Q202">
        <v>7</v>
      </c>
      <c r="R202" s="1">
        <f t="shared" si="47"/>
        <v>0</v>
      </c>
      <c r="S202" s="1">
        <f t="shared" si="48"/>
        <v>0</v>
      </c>
      <c r="T202" s="1">
        <f t="shared" si="49"/>
        <v>0</v>
      </c>
      <c r="U202" s="1">
        <f t="shared" si="50"/>
        <v>0</v>
      </c>
      <c r="V202" s="1">
        <f t="shared" si="51"/>
        <v>4</v>
      </c>
      <c r="W202" s="1" t="str">
        <f t="shared" si="52"/>
        <v>BB</v>
      </c>
      <c r="X202" t="s">
        <v>149</v>
      </c>
      <c r="Y202" t="s">
        <v>149</v>
      </c>
      <c r="AJ202">
        <f t="shared" si="53"/>
        <v>11</v>
      </c>
      <c r="AK202">
        <f t="shared" si="54"/>
        <v>111</v>
      </c>
      <c r="AL202">
        <f t="shared" si="55"/>
        <v>4</v>
      </c>
      <c r="AM202">
        <f t="shared" si="45"/>
        <v>7</v>
      </c>
      <c r="AN202">
        <f t="shared" si="56"/>
        <v>4</v>
      </c>
      <c r="AO202">
        <f t="shared" si="57"/>
        <v>7</v>
      </c>
      <c r="AP202">
        <f t="shared" si="58"/>
        <v>0</v>
      </c>
      <c r="AQ202">
        <f t="shared" si="46"/>
        <v>0</v>
      </c>
      <c r="AR202">
        <f t="shared" si="59"/>
        <v>0</v>
      </c>
    </row>
    <row r="203" spans="1:44" x14ac:dyDescent="0.25">
      <c r="A203" t="s">
        <v>241</v>
      </c>
      <c r="B203" t="s">
        <v>5</v>
      </c>
      <c r="C203" t="s">
        <v>6</v>
      </c>
      <c r="E203" t="s">
        <v>7</v>
      </c>
      <c r="F203" t="s">
        <v>1</v>
      </c>
      <c r="G203" t="s">
        <v>2</v>
      </c>
      <c r="H203" t="s">
        <v>4</v>
      </c>
      <c r="I203" s="1" t="s">
        <v>5</v>
      </c>
      <c r="J203" s="1" t="s">
        <v>6</v>
      </c>
      <c r="K203" s="1"/>
      <c r="L203" s="1" t="s">
        <v>7</v>
      </c>
      <c r="M203" s="1" t="b">
        <v>0</v>
      </c>
      <c r="N203" s="1"/>
      <c r="O203">
        <v>0</v>
      </c>
      <c r="P203">
        <v>0</v>
      </c>
      <c r="Q203">
        <v>7</v>
      </c>
      <c r="R203" s="1">
        <f t="shared" si="47"/>
        <v>0</v>
      </c>
      <c r="S203" s="1">
        <f t="shared" si="48"/>
        <v>0</v>
      </c>
      <c r="T203" s="1">
        <f t="shared" si="49"/>
        <v>0</v>
      </c>
      <c r="U203" s="1">
        <f t="shared" si="50"/>
        <v>0</v>
      </c>
      <c r="V203" s="1">
        <f t="shared" si="51"/>
        <v>5</v>
      </c>
      <c r="W203" s="1" t="str">
        <f t="shared" si="52"/>
        <v>BB</v>
      </c>
      <c r="X203" t="s">
        <v>149</v>
      </c>
      <c r="Y203" t="s">
        <v>149</v>
      </c>
      <c r="AJ203">
        <f t="shared" si="53"/>
        <v>101</v>
      </c>
      <c r="AK203">
        <f t="shared" si="54"/>
        <v>111</v>
      </c>
      <c r="AL203">
        <f t="shared" si="55"/>
        <v>5</v>
      </c>
      <c r="AM203">
        <f t="shared" si="45"/>
        <v>7</v>
      </c>
      <c r="AN203">
        <f t="shared" si="56"/>
        <v>5</v>
      </c>
      <c r="AO203">
        <f t="shared" si="57"/>
        <v>7</v>
      </c>
      <c r="AP203">
        <f t="shared" si="58"/>
        <v>0</v>
      </c>
      <c r="AQ203">
        <f t="shared" si="46"/>
        <v>0</v>
      </c>
      <c r="AR203">
        <f t="shared" si="59"/>
        <v>0</v>
      </c>
    </row>
    <row r="204" spans="1:44" x14ac:dyDescent="0.25">
      <c r="A204" t="s">
        <v>242</v>
      </c>
      <c r="B204" t="s">
        <v>5</v>
      </c>
      <c r="D204" t="s">
        <v>6</v>
      </c>
      <c r="E204" t="s">
        <v>7</v>
      </c>
      <c r="F204" t="s">
        <v>1</v>
      </c>
      <c r="G204" t="s">
        <v>3</v>
      </c>
      <c r="H204" t="s">
        <v>4</v>
      </c>
      <c r="I204" s="1" t="s">
        <v>5</v>
      </c>
      <c r="J204" s="1"/>
      <c r="K204" s="1" t="s">
        <v>6</v>
      </c>
      <c r="L204" s="1" t="s">
        <v>7</v>
      </c>
      <c r="M204" s="1" t="b">
        <v>0</v>
      </c>
      <c r="N204" s="1"/>
      <c r="O204">
        <v>0</v>
      </c>
      <c r="P204">
        <v>0</v>
      </c>
      <c r="Q204">
        <v>7</v>
      </c>
      <c r="R204" s="1">
        <f t="shared" si="47"/>
        <v>0</v>
      </c>
      <c r="S204" s="1">
        <f t="shared" si="48"/>
        <v>0</v>
      </c>
      <c r="T204" s="1">
        <f t="shared" si="49"/>
        <v>0</v>
      </c>
      <c r="U204" s="1">
        <f t="shared" si="50"/>
        <v>0</v>
      </c>
      <c r="V204" s="1">
        <f t="shared" si="51"/>
        <v>6</v>
      </c>
      <c r="W204" s="1" t="str">
        <f t="shared" si="52"/>
        <v>BB</v>
      </c>
      <c r="X204" t="s">
        <v>149</v>
      </c>
      <c r="Y204" t="s">
        <v>149</v>
      </c>
      <c r="AJ204">
        <f t="shared" si="53"/>
        <v>110</v>
      </c>
      <c r="AK204">
        <f t="shared" si="54"/>
        <v>111</v>
      </c>
      <c r="AL204">
        <f t="shared" si="55"/>
        <v>6</v>
      </c>
      <c r="AM204">
        <f t="shared" si="45"/>
        <v>7</v>
      </c>
      <c r="AN204">
        <f t="shared" si="56"/>
        <v>6</v>
      </c>
      <c r="AO204">
        <f t="shared" si="57"/>
        <v>7</v>
      </c>
      <c r="AP204">
        <f t="shared" si="58"/>
        <v>0</v>
      </c>
      <c r="AQ204">
        <f t="shared" si="46"/>
        <v>0</v>
      </c>
      <c r="AR204">
        <f t="shared" si="59"/>
        <v>0</v>
      </c>
    </row>
    <row r="205" spans="1:44" x14ac:dyDescent="0.25">
      <c r="A205" t="s">
        <v>243</v>
      </c>
      <c r="B205" t="s">
        <v>5</v>
      </c>
      <c r="C205" t="s">
        <v>6</v>
      </c>
      <c r="D205" t="s">
        <v>7</v>
      </c>
      <c r="E205" t="s">
        <v>43</v>
      </c>
      <c r="F205" t="s">
        <v>1</v>
      </c>
      <c r="G205" t="s">
        <v>2</v>
      </c>
      <c r="H205" t="s">
        <v>3</v>
      </c>
      <c r="I205" s="1" t="s">
        <v>5</v>
      </c>
      <c r="J205" s="1" t="s">
        <v>6</v>
      </c>
      <c r="K205" s="1" t="s">
        <v>7</v>
      </c>
      <c r="L205" s="1" t="s">
        <v>43</v>
      </c>
      <c r="M205" s="1" t="b">
        <v>0</v>
      </c>
      <c r="N205" s="1"/>
      <c r="O205">
        <v>1</v>
      </c>
      <c r="P205">
        <v>0</v>
      </c>
      <c r="Q205">
        <v>7</v>
      </c>
      <c r="R205" s="1">
        <f t="shared" si="47"/>
        <v>1</v>
      </c>
      <c r="S205" s="1">
        <f t="shared" si="48"/>
        <v>0</v>
      </c>
      <c r="T205" s="1">
        <f t="shared" si="49"/>
        <v>0</v>
      </c>
      <c r="U205" s="1">
        <f t="shared" si="50"/>
        <v>0</v>
      </c>
      <c r="V205" s="1">
        <f t="shared" si="51"/>
        <v>7</v>
      </c>
      <c r="W205" s="1" t="str">
        <f t="shared" si="52"/>
        <v>BB</v>
      </c>
      <c r="X205" t="s">
        <v>149</v>
      </c>
      <c r="Y205" t="s">
        <v>149</v>
      </c>
      <c r="AJ205">
        <f t="shared" si="53"/>
        <v>111</v>
      </c>
      <c r="AK205">
        <f t="shared" si="54"/>
        <v>111</v>
      </c>
      <c r="AL205">
        <f t="shared" si="55"/>
        <v>7</v>
      </c>
      <c r="AM205">
        <f t="shared" si="45"/>
        <v>7</v>
      </c>
      <c r="AN205">
        <f t="shared" si="56"/>
        <v>7</v>
      </c>
      <c r="AO205">
        <f t="shared" si="57"/>
        <v>7</v>
      </c>
      <c r="AP205">
        <f t="shared" si="58"/>
        <v>0</v>
      </c>
      <c r="AQ205">
        <f t="shared" si="46"/>
        <v>0</v>
      </c>
      <c r="AR205">
        <f t="shared" si="59"/>
        <v>0</v>
      </c>
    </row>
    <row r="206" spans="1:44" x14ac:dyDescent="0.25">
      <c r="A206" t="s">
        <v>244</v>
      </c>
      <c r="B206" t="s">
        <v>5</v>
      </c>
      <c r="F206" t="s">
        <v>1</v>
      </c>
      <c r="I206" s="1" t="s">
        <v>5</v>
      </c>
      <c r="J206" s="1"/>
      <c r="K206" s="1"/>
      <c r="L206" s="1"/>
      <c r="M206" s="1" t="b">
        <v>0</v>
      </c>
      <c r="N206" s="1"/>
      <c r="O206">
        <v>0</v>
      </c>
      <c r="P206">
        <v>1</v>
      </c>
      <c r="Q206">
        <v>1</v>
      </c>
      <c r="R206" s="1">
        <f t="shared" si="47"/>
        <v>0</v>
      </c>
      <c r="S206" s="1">
        <f t="shared" si="48"/>
        <v>1</v>
      </c>
      <c r="T206" s="1">
        <f t="shared" si="49"/>
        <v>0</v>
      </c>
      <c r="U206" s="1">
        <f t="shared" si="50"/>
        <v>1</v>
      </c>
      <c r="V206" s="1">
        <f t="shared" si="51"/>
        <v>0</v>
      </c>
      <c r="W206" s="1" t="str">
        <f t="shared" si="52"/>
        <v>BB</v>
      </c>
      <c r="X206" t="s">
        <v>149</v>
      </c>
      <c r="Y206" t="s">
        <v>149</v>
      </c>
      <c r="AJ206">
        <f t="shared" si="53"/>
        <v>0</v>
      </c>
      <c r="AK206">
        <f t="shared" si="54"/>
        <v>1</v>
      </c>
      <c r="AL206">
        <f t="shared" si="55"/>
        <v>0</v>
      </c>
      <c r="AM206">
        <f t="shared" si="45"/>
        <v>1</v>
      </c>
      <c r="AN206">
        <f t="shared" si="56"/>
        <v>0</v>
      </c>
      <c r="AO206">
        <f t="shared" si="57"/>
        <v>1</v>
      </c>
      <c r="AP206">
        <f t="shared" si="58"/>
        <v>0</v>
      </c>
      <c r="AQ206">
        <f t="shared" si="46"/>
        <v>0</v>
      </c>
      <c r="AR206">
        <f t="shared" si="59"/>
        <v>0</v>
      </c>
    </row>
    <row r="207" spans="1:44" x14ac:dyDescent="0.25">
      <c r="A207" t="s">
        <v>245</v>
      </c>
      <c r="B207" t="s">
        <v>5</v>
      </c>
      <c r="C207" t="s">
        <v>6</v>
      </c>
      <c r="F207" t="s">
        <v>1</v>
      </c>
      <c r="G207" t="s">
        <v>2</v>
      </c>
      <c r="I207" s="1" t="s">
        <v>5</v>
      </c>
      <c r="J207" s="1" t="s">
        <v>6</v>
      </c>
      <c r="K207" s="1"/>
      <c r="L207" s="1"/>
      <c r="M207" s="1" t="b">
        <v>0</v>
      </c>
      <c r="N207" s="1"/>
      <c r="O207">
        <v>0</v>
      </c>
      <c r="P207">
        <v>1</v>
      </c>
      <c r="Q207">
        <v>4</v>
      </c>
      <c r="R207" s="1">
        <f t="shared" si="47"/>
        <v>0</v>
      </c>
      <c r="S207" s="1">
        <f t="shared" si="48"/>
        <v>1</v>
      </c>
      <c r="T207" s="1">
        <f t="shared" si="49"/>
        <v>0</v>
      </c>
      <c r="U207" s="1">
        <f t="shared" si="50"/>
        <v>1</v>
      </c>
      <c r="V207" s="1">
        <f t="shared" si="51"/>
        <v>1</v>
      </c>
      <c r="W207" s="1" t="str">
        <f t="shared" si="52"/>
        <v>BB</v>
      </c>
      <c r="X207" t="s">
        <v>149</v>
      </c>
      <c r="Y207" t="s">
        <v>149</v>
      </c>
      <c r="AJ207">
        <f t="shared" si="53"/>
        <v>1</v>
      </c>
      <c r="AK207">
        <f t="shared" si="54"/>
        <v>11</v>
      </c>
      <c r="AL207">
        <f t="shared" si="55"/>
        <v>1</v>
      </c>
      <c r="AM207">
        <f t="shared" si="45"/>
        <v>4</v>
      </c>
      <c r="AN207">
        <f t="shared" si="56"/>
        <v>1</v>
      </c>
      <c r="AO207">
        <f t="shared" si="57"/>
        <v>4</v>
      </c>
      <c r="AP207">
        <f t="shared" si="58"/>
        <v>0</v>
      </c>
      <c r="AQ207">
        <f t="shared" si="46"/>
        <v>0</v>
      </c>
      <c r="AR207">
        <f t="shared" si="59"/>
        <v>0</v>
      </c>
    </row>
    <row r="208" spans="1:44" x14ac:dyDescent="0.25">
      <c r="A208" t="s">
        <v>246</v>
      </c>
      <c r="B208" t="s">
        <v>5</v>
      </c>
      <c r="D208" t="s">
        <v>6</v>
      </c>
      <c r="F208" t="s">
        <v>1</v>
      </c>
      <c r="G208" t="s">
        <v>3</v>
      </c>
      <c r="I208" s="1" t="s">
        <v>5</v>
      </c>
      <c r="J208" s="1"/>
      <c r="K208" s="1" t="s">
        <v>6</v>
      </c>
      <c r="L208" s="1"/>
      <c r="M208" s="1" t="b">
        <v>0</v>
      </c>
      <c r="N208" s="1"/>
      <c r="O208">
        <v>0</v>
      </c>
      <c r="P208">
        <v>1</v>
      </c>
      <c r="Q208">
        <v>4</v>
      </c>
      <c r="R208" s="1">
        <f t="shared" si="47"/>
        <v>0</v>
      </c>
      <c r="S208" s="1">
        <f t="shared" si="48"/>
        <v>1</v>
      </c>
      <c r="T208" s="1">
        <f t="shared" si="49"/>
        <v>0</v>
      </c>
      <c r="U208" s="1">
        <f t="shared" si="50"/>
        <v>1</v>
      </c>
      <c r="V208" s="1">
        <f t="shared" si="51"/>
        <v>2</v>
      </c>
      <c r="W208" s="1" t="str">
        <f t="shared" si="52"/>
        <v>BB</v>
      </c>
      <c r="X208" t="s">
        <v>149</v>
      </c>
      <c r="Y208" t="s">
        <v>149</v>
      </c>
      <c r="AJ208">
        <f t="shared" si="53"/>
        <v>10</v>
      </c>
      <c r="AK208">
        <f t="shared" si="54"/>
        <v>11</v>
      </c>
      <c r="AL208">
        <f t="shared" si="55"/>
        <v>2</v>
      </c>
      <c r="AM208">
        <f t="shared" si="45"/>
        <v>4</v>
      </c>
      <c r="AN208">
        <f t="shared" si="56"/>
        <v>2</v>
      </c>
      <c r="AO208">
        <f t="shared" si="57"/>
        <v>4</v>
      </c>
      <c r="AP208">
        <f t="shared" si="58"/>
        <v>0</v>
      </c>
      <c r="AQ208">
        <f t="shared" si="46"/>
        <v>0</v>
      </c>
      <c r="AR208">
        <f t="shared" si="59"/>
        <v>0</v>
      </c>
    </row>
    <row r="209" spans="1:44" x14ac:dyDescent="0.25">
      <c r="A209" t="s">
        <v>247</v>
      </c>
      <c r="B209" t="s">
        <v>5</v>
      </c>
      <c r="E209" t="s">
        <v>7</v>
      </c>
      <c r="F209" t="s">
        <v>1</v>
      </c>
      <c r="H209" t="s">
        <v>4</v>
      </c>
      <c r="I209" s="1" t="s">
        <v>5</v>
      </c>
      <c r="J209" s="1"/>
      <c r="K209" s="1"/>
      <c r="L209" s="1" t="s">
        <v>7</v>
      </c>
      <c r="M209" s="1" t="b">
        <v>0</v>
      </c>
      <c r="N209" s="1"/>
      <c r="O209">
        <v>0</v>
      </c>
      <c r="P209">
        <v>1</v>
      </c>
      <c r="Q209">
        <v>5</v>
      </c>
      <c r="R209" s="1">
        <f t="shared" si="47"/>
        <v>0</v>
      </c>
      <c r="S209" s="1">
        <f t="shared" si="48"/>
        <v>1</v>
      </c>
      <c r="T209" s="1">
        <f t="shared" si="49"/>
        <v>0</v>
      </c>
      <c r="U209" s="1">
        <f t="shared" si="50"/>
        <v>1</v>
      </c>
      <c r="V209" s="1">
        <f t="shared" si="51"/>
        <v>3</v>
      </c>
      <c r="W209" s="1" t="str">
        <f t="shared" si="52"/>
        <v>BB</v>
      </c>
      <c r="X209" t="s">
        <v>149</v>
      </c>
      <c r="Y209" t="s">
        <v>149</v>
      </c>
      <c r="AJ209">
        <f t="shared" si="53"/>
        <v>100</v>
      </c>
      <c r="AK209">
        <f t="shared" si="54"/>
        <v>101</v>
      </c>
      <c r="AL209">
        <f t="shared" si="55"/>
        <v>3</v>
      </c>
      <c r="AM209">
        <f t="shared" si="45"/>
        <v>5</v>
      </c>
      <c r="AN209">
        <f t="shared" si="56"/>
        <v>3</v>
      </c>
      <c r="AO209">
        <f t="shared" si="57"/>
        <v>5</v>
      </c>
      <c r="AP209">
        <f t="shared" si="58"/>
        <v>0</v>
      </c>
      <c r="AQ209">
        <f t="shared" si="46"/>
        <v>0</v>
      </c>
      <c r="AR209">
        <f t="shared" si="59"/>
        <v>0</v>
      </c>
    </row>
    <row r="210" spans="1:44" x14ac:dyDescent="0.25">
      <c r="A210" t="s">
        <v>248</v>
      </c>
      <c r="B210" t="s">
        <v>5</v>
      </c>
      <c r="C210" t="s">
        <v>6</v>
      </c>
      <c r="D210" t="s">
        <v>7</v>
      </c>
      <c r="F210" t="s">
        <v>1</v>
      </c>
      <c r="G210" t="s">
        <v>2</v>
      </c>
      <c r="H210" t="s">
        <v>3</v>
      </c>
      <c r="I210" s="1" t="s">
        <v>5</v>
      </c>
      <c r="J210" s="1" t="s">
        <v>6</v>
      </c>
      <c r="K210" s="1" t="s">
        <v>7</v>
      </c>
      <c r="L210" s="1"/>
      <c r="M210" s="1" t="b">
        <v>0</v>
      </c>
      <c r="N210" s="1"/>
      <c r="O210">
        <v>0</v>
      </c>
      <c r="P210">
        <v>1</v>
      </c>
      <c r="Q210">
        <v>7</v>
      </c>
      <c r="R210" s="1">
        <f t="shared" si="47"/>
        <v>0</v>
      </c>
      <c r="S210" s="1">
        <f t="shared" si="48"/>
        <v>1</v>
      </c>
      <c r="T210" s="1">
        <f t="shared" si="49"/>
        <v>0</v>
      </c>
      <c r="U210" s="1">
        <f t="shared" si="50"/>
        <v>1</v>
      </c>
      <c r="V210" s="1">
        <f t="shared" si="51"/>
        <v>4</v>
      </c>
      <c r="W210" s="1" t="str">
        <f t="shared" si="52"/>
        <v>BB</v>
      </c>
      <c r="X210" t="s">
        <v>149</v>
      </c>
      <c r="Y210" t="s">
        <v>149</v>
      </c>
      <c r="AJ210">
        <f t="shared" si="53"/>
        <v>11</v>
      </c>
      <c r="AK210">
        <f t="shared" si="54"/>
        <v>111</v>
      </c>
      <c r="AL210">
        <f t="shared" si="55"/>
        <v>4</v>
      </c>
      <c r="AM210">
        <f t="shared" si="45"/>
        <v>7</v>
      </c>
      <c r="AN210">
        <f t="shared" si="56"/>
        <v>4</v>
      </c>
      <c r="AO210">
        <f t="shared" si="57"/>
        <v>7</v>
      </c>
      <c r="AP210">
        <f t="shared" si="58"/>
        <v>0</v>
      </c>
      <c r="AQ210">
        <f t="shared" si="46"/>
        <v>0</v>
      </c>
      <c r="AR210">
        <f t="shared" si="59"/>
        <v>0</v>
      </c>
    </row>
    <row r="211" spans="1:44" x14ac:dyDescent="0.25">
      <c r="A211" t="s">
        <v>249</v>
      </c>
      <c r="B211" t="s">
        <v>5</v>
      </c>
      <c r="C211" t="s">
        <v>6</v>
      </c>
      <c r="E211" t="s">
        <v>7</v>
      </c>
      <c r="F211" t="s">
        <v>1</v>
      </c>
      <c r="G211" t="s">
        <v>2</v>
      </c>
      <c r="H211" t="s">
        <v>4</v>
      </c>
      <c r="I211" s="1" t="s">
        <v>5</v>
      </c>
      <c r="J211" s="1" t="s">
        <v>6</v>
      </c>
      <c r="K211" s="1"/>
      <c r="L211" s="1" t="s">
        <v>7</v>
      </c>
      <c r="M211" s="1" t="b">
        <v>0</v>
      </c>
      <c r="N211" s="1"/>
      <c r="O211">
        <v>0</v>
      </c>
      <c r="P211">
        <v>1</v>
      </c>
      <c r="Q211">
        <v>7</v>
      </c>
      <c r="R211" s="1">
        <f t="shared" si="47"/>
        <v>0</v>
      </c>
      <c r="S211" s="1">
        <f t="shared" si="48"/>
        <v>1</v>
      </c>
      <c r="T211" s="1">
        <f t="shared" si="49"/>
        <v>0</v>
      </c>
      <c r="U211" s="1">
        <f t="shared" si="50"/>
        <v>1</v>
      </c>
      <c r="V211" s="1">
        <f t="shared" si="51"/>
        <v>5</v>
      </c>
      <c r="W211" s="1" t="str">
        <f t="shared" si="52"/>
        <v>BB</v>
      </c>
      <c r="X211" t="s">
        <v>149</v>
      </c>
      <c r="Y211" t="s">
        <v>149</v>
      </c>
      <c r="AJ211">
        <f t="shared" si="53"/>
        <v>101</v>
      </c>
      <c r="AK211">
        <f t="shared" si="54"/>
        <v>111</v>
      </c>
      <c r="AL211">
        <f t="shared" si="55"/>
        <v>5</v>
      </c>
      <c r="AM211">
        <f t="shared" si="45"/>
        <v>7</v>
      </c>
      <c r="AN211">
        <f t="shared" si="56"/>
        <v>5</v>
      </c>
      <c r="AO211">
        <f t="shared" si="57"/>
        <v>7</v>
      </c>
      <c r="AP211">
        <f t="shared" si="58"/>
        <v>0</v>
      </c>
      <c r="AQ211">
        <f t="shared" si="46"/>
        <v>0</v>
      </c>
      <c r="AR211">
        <f t="shared" si="59"/>
        <v>0</v>
      </c>
    </row>
    <row r="212" spans="1:44" x14ac:dyDescent="0.25">
      <c r="A212" t="s">
        <v>250</v>
      </c>
      <c r="B212" t="s">
        <v>5</v>
      </c>
      <c r="D212" t="s">
        <v>6</v>
      </c>
      <c r="E212" t="s">
        <v>7</v>
      </c>
      <c r="F212" t="s">
        <v>1</v>
      </c>
      <c r="G212" t="s">
        <v>3</v>
      </c>
      <c r="H212" t="s">
        <v>4</v>
      </c>
      <c r="I212" s="1" t="s">
        <v>5</v>
      </c>
      <c r="J212" s="1"/>
      <c r="K212" s="1" t="s">
        <v>6</v>
      </c>
      <c r="L212" s="1" t="s">
        <v>7</v>
      </c>
      <c r="M212" s="1" t="b">
        <v>0</v>
      </c>
      <c r="N212" s="1"/>
      <c r="O212">
        <v>0</v>
      </c>
      <c r="P212">
        <v>1</v>
      </c>
      <c r="Q212">
        <v>7</v>
      </c>
      <c r="R212" s="1">
        <f t="shared" si="47"/>
        <v>0</v>
      </c>
      <c r="S212" s="1">
        <f t="shared" si="48"/>
        <v>1</v>
      </c>
      <c r="T212" s="1">
        <f t="shared" si="49"/>
        <v>0</v>
      </c>
      <c r="U212" s="1">
        <f t="shared" si="50"/>
        <v>1</v>
      </c>
      <c r="V212" s="1">
        <f t="shared" si="51"/>
        <v>6</v>
      </c>
      <c r="W212" s="1" t="str">
        <f t="shared" si="52"/>
        <v>BB</v>
      </c>
      <c r="X212" t="s">
        <v>149</v>
      </c>
      <c r="Y212" t="s">
        <v>149</v>
      </c>
      <c r="AJ212">
        <f t="shared" si="53"/>
        <v>110</v>
      </c>
      <c r="AK212">
        <f t="shared" si="54"/>
        <v>111</v>
      </c>
      <c r="AL212">
        <f t="shared" si="55"/>
        <v>6</v>
      </c>
      <c r="AM212">
        <f t="shared" si="45"/>
        <v>7</v>
      </c>
      <c r="AN212">
        <f t="shared" si="56"/>
        <v>6</v>
      </c>
      <c r="AO212">
        <f t="shared" si="57"/>
        <v>7</v>
      </c>
      <c r="AP212">
        <f t="shared" si="58"/>
        <v>0</v>
      </c>
      <c r="AQ212">
        <f t="shared" si="46"/>
        <v>0</v>
      </c>
      <c r="AR212">
        <f t="shared" si="59"/>
        <v>0</v>
      </c>
    </row>
    <row r="213" spans="1:44" x14ac:dyDescent="0.25">
      <c r="A213" t="s">
        <v>251</v>
      </c>
      <c r="B213" t="s">
        <v>5</v>
      </c>
      <c r="C213" t="s">
        <v>6</v>
      </c>
      <c r="D213" t="s">
        <v>7</v>
      </c>
      <c r="E213" t="s">
        <v>43</v>
      </c>
      <c r="F213" t="s">
        <v>1</v>
      </c>
      <c r="G213" t="s">
        <v>2</v>
      </c>
      <c r="H213" t="s">
        <v>3</v>
      </c>
      <c r="I213" s="1" t="s">
        <v>5</v>
      </c>
      <c r="J213" s="1" t="s">
        <v>6</v>
      </c>
      <c r="K213" s="1" t="s">
        <v>7</v>
      </c>
      <c r="L213" s="1" t="s">
        <v>43</v>
      </c>
      <c r="M213" s="1" t="b">
        <v>0</v>
      </c>
      <c r="N213" s="1"/>
      <c r="O213">
        <v>1</v>
      </c>
      <c r="P213">
        <v>1</v>
      </c>
      <c r="Q213">
        <v>7</v>
      </c>
      <c r="R213" s="1">
        <f t="shared" si="47"/>
        <v>1</v>
      </c>
      <c r="S213" s="1">
        <f t="shared" si="48"/>
        <v>1</v>
      </c>
      <c r="T213" s="1">
        <f t="shared" si="49"/>
        <v>0</v>
      </c>
      <c r="U213" s="1">
        <f t="shared" si="50"/>
        <v>1</v>
      </c>
      <c r="V213" s="1">
        <f t="shared" si="51"/>
        <v>7</v>
      </c>
      <c r="W213" s="1" t="str">
        <f t="shared" si="52"/>
        <v>BB</v>
      </c>
      <c r="X213" t="s">
        <v>149</v>
      </c>
      <c r="Y213" t="s">
        <v>149</v>
      </c>
      <c r="AJ213">
        <f t="shared" si="53"/>
        <v>111</v>
      </c>
      <c r="AK213">
        <f t="shared" si="54"/>
        <v>111</v>
      </c>
      <c r="AL213">
        <f t="shared" si="55"/>
        <v>7</v>
      </c>
      <c r="AM213">
        <f t="shared" si="45"/>
        <v>7</v>
      </c>
      <c r="AN213">
        <f t="shared" si="56"/>
        <v>7</v>
      </c>
      <c r="AO213">
        <f t="shared" si="57"/>
        <v>7</v>
      </c>
      <c r="AP213">
        <f t="shared" si="58"/>
        <v>0</v>
      </c>
      <c r="AQ213">
        <f t="shared" si="46"/>
        <v>0</v>
      </c>
      <c r="AR213">
        <f t="shared" si="59"/>
        <v>0</v>
      </c>
    </row>
    <row r="214" spans="1:44" x14ac:dyDescent="0.25">
      <c r="A214" t="s">
        <v>252</v>
      </c>
      <c r="B214" t="s">
        <v>5</v>
      </c>
      <c r="F214" t="s">
        <v>1</v>
      </c>
      <c r="I214" s="1" t="s">
        <v>5</v>
      </c>
      <c r="J214" s="1"/>
      <c r="K214" s="1"/>
      <c r="L214" s="1"/>
      <c r="M214" s="1" t="b">
        <v>0</v>
      </c>
      <c r="N214" s="1"/>
      <c r="O214">
        <v>0</v>
      </c>
      <c r="P214">
        <v>2</v>
      </c>
      <c r="Q214">
        <v>1</v>
      </c>
      <c r="R214" s="1">
        <f t="shared" si="47"/>
        <v>0</v>
      </c>
      <c r="S214" s="1">
        <f t="shared" si="48"/>
        <v>2</v>
      </c>
      <c r="T214" s="1">
        <f t="shared" si="49"/>
        <v>0</v>
      </c>
      <c r="U214" s="1">
        <f t="shared" si="50"/>
        <v>2</v>
      </c>
      <c r="V214" s="1">
        <f t="shared" si="51"/>
        <v>0</v>
      </c>
      <c r="W214" s="1" t="str">
        <f t="shared" si="52"/>
        <v>BB</v>
      </c>
      <c r="X214" t="s">
        <v>149</v>
      </c>
      <c r="Y214" t="s">
        <v>149</v>
      </c>
      <c r="AJ214">
        <f t="shared" si="53"/>
        <v>0</v>
      </c>
      <c r="AK214">
        <f t="shared" si="54"/>
        <v>1</v>
      </c>
      <c r="AL214">
        <f t="shared" si="55"/>
        <v>0</v>
      </c>
      <c r="AM214">
        <f t="shared" si="45"/>
        <v>1</v>
      </c>
      <c r="AN214">
        <f t="shared" si="56"/>
        <v>0</v>
      </c>
      <c r="AO214">
        <f t="shared" si="57"/>
        <v>1</v>
      </c>
      <c r="AP214">
        <f t="shared" si="58"/>
        <v>0</v>
      </c>
      <c r="AQ214">
        <f t="shared" si="46"/>
        <v>0</v>
      </c>
      <c r="AR214">
        <f t="shared" si="59"/>
        <v>0</v>
      </c>
    </row>
    <row r="215" spans="1:44" x14ac:dyDescent="0.25">
      <c r="A215" t="s">
        <v>253</v>
      </c>
      <c r="B215" t="s">
        <v>5</v>
      </c>
      <c r="C215" t="s">
        <v>6</v>
      </c>
      <c r="F215" t="s">
        <v>1</v>
      </c>
      <c r="G215" t="s">
        <v>2</v>
      </c>
      <c r="I215" s="1" t="s">
        <v>5</v>
      </c>
      <c r="J215" s="1" t="s">
        <v>6</v>
      </c>
      <c r="K215" s="1"/>
      <c r="L215" s="1"/>
      <c r="M215" s="1" t="b">
        <v>0</v>
      </c>
      <c r="N215" s="1"/>
      <c r="O215">
        <v>0</v>
      </c>
      <c r="P215">
        <v>2</v>
      </c>
      <c r="Q215">
        <v>4</v>
      </c>
      <c r="R215" s="1">
        <f t="shared" si="47"/>
        <v>0</v>
      </c>
      <c r="S215" s="1">
        <f t="shared" si="48"/>
        <v>2</v>
      </c>
      <c r="T215" s="1">
        <f t="shared" si="49"/>
        <v>0</v>
      </c>
      <c r="U215" s="1">
        <f t="shared" si="50"/>
        <v>2</v>
      </c>
      <c r="V215" s="1">
        <f t="shared" si="51"/>
        <v>1</v>
      </c>
      <c r="W215" s="1" t="str">
        <f t="shared" si="52"/>
        <v>BB</v>
      </c>
      <c r="X215" t="s">
        <v>149</v>
      </c>
      <c r="Y215" t="s">
        <v>149</v>
      </c>
      <c r="AJ215">
        <f t="shared" si="53"/>
        <v>1</v>
      </c>
      <c r="AK215">
        <f t="shared" si="54"/>
        <v>11</v>
      </c>
      <c r="AL215">
        <f t="shared" si="55"/>
        <v>1</v>
      </c>
      <c r="AM215">
        <f t="shared" si="45"/>
        <v>4</v>
      </c>
      <c r="AN215">
        <f t="shared" si="56"/>
        <v>1</v>
      </c>
      <c r="AO215">
        <f t="shared" si="57"/>
        <v>4</v>
      </c>
      <c r="AP215">
        <f t="shared" si="58"/>
        <v>0</v>
      </c>
      <c r="AQ215">
        <f t="shared" si="46"/>
        <v>0</v>
      </c>
      <c r="AR215">
        <f t="shared" si="59"/>
        <v>0</v>
      </c>
    </row>
    <row r="216" spans="1:44" x14ac:dyDescent="0.25">
      <c r="A216" t="s">
        <v>254</v>
      </c>
      <c r="B216" t="s">
        <v>5</v>
      </c>
      <c r="D216" t="s">
        <v>6</v>
      </c>
      <c r="F216" t="s">
        <v>1</v>
      </c>
      <c r="G216" t="s">
        <v>3</v>
      </c>
      <c r="I216" s="1" t="s">
        <v>5</v>
      </c>
      <c r="J216" s="1"/>
      <c r="K216" s="1" t="s">
        <v>6</v>
      </c>
      <c r="L216" s="1"/>
      <c r="M216" s="1" t="b">
        <v>0</v>
      </c>
      <c r="N216" s="1"/>
      <c r="O216">
        <v>0</v>
      </c>
      <c r="P216">
        <v>2</v>
      </c>
      <c r="Q216">
        <v>4</v>
      </c>
      <c r="R216" s="1">
        <f t="shared" si="47"/>
        <v>0</v>
      </c>
      <c r="S216" s="1">
        <f t="shared" si="48"/>
        <v>2</v>
      </c>
      <c r="T216" s="1">
        <f t="shared" si="49"/>
        <v>0</v>
      </c>
      <c r="U216" s="1">
        <f t="shared" si="50"/>
        <v>2</v>
      </c>
      <c r="V216" s="1">
        <f t="shared" si="51"/>
        <v>2</v>
      </c>
      <c r="W216" s="1" t="str">
        <f t="shared" si="52"/>
        <v>BB</v>
      </c>
      <c r="X216" t="s">
        <v>149</v>
      </c>
      <c r="Y216" t="s">
        <v>149</v>
      </c>
      <c r="AJ216">
        <f t="shared" si="53"/>
        <v>10</v>
      </c>
      <c r="AK216">
        <f t="shared" si="54"/>
        <v>11</v>
      </c>
      <c r="AL216">
        <f t="shared" si="55"/>
        <v>2</v>
      </c>
      <c r="AM216">
        <f t="shared" si="45"/>
        <v>4</v>
      </c>
      <c r="AN216">
        <f t="shared" si="56"/>
        <v>2</v>
      </c>
      <c r="AO216">
        <f t="shared" si="57"/>
        <v>4</v>
      </c>
      <c r="AP216">
        <f t="shared" si="58"/>
        <v>0</v>
      </c>
      <c r="AQ216">
        <f t="shared" si="46"/>
        <v>0</v>
      </c>
      <c r="AR216">
        <f t="shared" si="59"/>
        <v>0</v>
      </c>
    </row>
    <row r="217" spans="1:44" x14ac:dyDescent="0.25">
      <c r="A217" t="s">
        <v>255</v>
      </c>
      <c r="B217" t="s">
        <v>5</v>
      </c>
      <c r="E217" t="s">
        <v>7</v>
      </c>
      <c r="F217" t="s">
        <v>1</v>
      </c>
      <c r="H217" t="s">
        <v>4</v>
      </c>
      <c r="I217" s="1" t="s">
        <v>5</v>
      </c>
      <c r="J217" s="1"/>
      <c r="K217" s="1"/>
      <c r="L217" s="1" t="s">
        <v>7</v>
      </c>
      <c r="M217" s="1" t="b">
        <v>0</v>
      </c>
      <c r="N217" s="1"/>
      <c r="O217">
        <v>0</v>
      </c>
      <c r="P217">
        <v>2</v>
      </c>
      <c r="Q217">
        <v>5</v>
      </c>
      <c r="R217" s="1">
        <f t="shared" si="47"/>
        <v>0</v>
      </c>
      <c r="S217" s="1">
        <f t="shared" si="48"/>
        <v>2</v>
      </c>
      <c r="T217" s="1">
        <f t="shared" si="49"/>
        <v>0</v>
      </c>
      <c r="U217" s="1">
        <f t="shared" si="50"/>
        <v>2</v>
      </c>
      <c r="V217" s="1">
        <f t="shared" si="51"/>
        <v>3</v>
      </c>
      <c r="W217" s="1" t="str">
        <f t="shared" si="52"/>
        <v>BB</v>
      </c>
      <c r="X217" t="s">
        <v>149</v>
      </c>
      <c r="Y217" t="s">
        <v>149</v>
      </c>
      <c r="AJ217">
        <f t="shared" si="53"/>
        <v>100</v>
      </c>
      <c r="AK217">
        <f t="shared" si="54"/>
        <v>101</v>
      </c>
      <c r="AL217">
        <f t="shared" si="55"/>
        <v>3</v>
      </c>
      <c r="AM217">
        <f t="shared" si="45"/>
        <v>5</v>
      </c>
      <c r="AN217">
        <f t="shared" si="56"/>
        <v>3</v>
      </c>
      <c r="AO217">
        <f t="shared" si="57"/>
        <v>5</v>
      </c>
      <c r="AP217">
        <f t="shared" si="58"/>
        <v>0</v>
      </c>
      <c r="AQ217">
        <f t="shared" si="46"/>
        <v>0</v>
      </c>
      <c r="AR217">
        <f t="shared" si="59"/>
        <v>0</v>
      </c>
    </row>
    <row r="218" spans="1:44" x14ac:dyDescent="0.25">
      <c r="A218" t="s">
        <v>256</v>
      </c>
      <c r="B218" t="s">
        <v>5</v>
      </c>
      <c r="C218" t="s">
        <v>6</v>
      </c>
      <c r="D218" t="s">
        <v>7</v>
      </c>
      <c r="F218" t="s">
        <v>1</v>
      </c>
      <c r="G218" t="s">
        <v>2</v>
      </c>
      <c r="H218" t="s">
        <v>3</v>
      </c>
      <c r="I218" s="1" t="s">
        <v>5</v>
      </c>
      <c r="J218" s="1" t="s">
        <v>6</v>
      </c>
      <c r="K218" s="1" t="s">
        <v>7</v>
      </c>
      <c r="L218" s="1"/>
      <c r="M218" s="1" t="b">
        <v>0</v>
      </c>
      <c r="N218" s="1"/>
      <c r="O218">
        <v>0</v>
      </c>
      <c r="P218">
        <v>2</v>
      </c>
      <c r="Q218">
        <v>7</v>
      </c>
      <c r="R218" s="1">
        <f t="shared" si="47"/>
        <v>0</v>
      </c>
      <c r="S218" s="1">
        <f t="shared" si="48"/>
        <v>2</v>
      </c>
      <c r="T218" s="1">
        <f t="shared" si="49"/>
        <v>0</v>
      </c>
      <c r="U218" s="1">
        <f t="shared" si="50"/>
        <v>2</v>
      </c>
      <c r="V218" s="1">
        <f t="shared" si="51"/>
        <v>4</v>
      </c>
      <c r="W218" s="1" t="str">
        <f t="shared" si="52"/>
        <v>BB</v>
      </c>
      <c r="X218" t="s">
        <v>149</v>
      </c>
      <c r="Y218" t="s">
        <v>149</v>
      </c>
      <c r="AJ218">
        <f t="shared" si="53"/>
        <v>11</v>
      </c>
      <c r="AK218">
        <f t="shared" si="54"/>
        <v>111</v>
      </c>
      <c r="AL218">
        <f t="shared" si="55"/>
        <v>4</v>
      </c>
      <c r="AM218">
        <f t="shared" si="45"/>
        <v>7</v>
      </c>
      <c r="AN218">
        <f t="shared" si="56"/>
        <v>4</v>
      </c>
      <c r="AO218">
        <f t="shared" si="57"/>
        <v>7</v>
      </c>
      <c r="AP218">
        <f t="shared" si="58"/>
        <v>0</v>
      </c>
      <c r="AQ218">
        <f t="shared" si="46"/>
        <v>0</v>
      </c>
      <c r="AR218">
        <f t="shared" si="59"/>
        <v>0</v>
      </c>
    </row>
    <row r="219" spans="1:44" x14ac:dyDescent="0.25">
      <c r="A219" t="s">
        <v>257</v>
      </c>
      <c r="B219" t="s">
        <v>5</v>
      </c>
      <c r="C219" t="s">
        <v>6</v>
      </c>
      <c r="E219" t="s">
        <v>7</v>
      </c>
      <c r="F219" t="s">
        <v>1</v>
      </c>
      <c r="G219" t="s">
        <v>2</v>
      </c>
      <c r="H219" t="s">
        <v>4</v>
      </c>
      <c r="I219" s="1" t="s">
        <v>5</v>
      </c>
      <c r="J219" s="1" t="s">
        <v>6</v>
      </c>
      <c r="K219" s="1"/>
      <c r="L219" s="1" t="s">
        <v>7</v>
      </c>
      <c r="M219" s="1" t="b">
        <v>0</v>
      </c>
      <c r="N219" s="1"/>
      <c r="O219">
        <v>0</v>
      </c>
      <c r="P219">
        <v>2</v>
      </c>
      <c r="Q219">
        <v>7</v>
      </c>
      <c r="R219" s="1">
        <f t="shared" si="47"/>
        <v>0</v>
      </c>
      <c r="S219" s="1">
        <f t="shared" si="48"/>
        <v>2</v>
      </c>
      <c r="T219" s="1">
        <f t="shared" si="49"/>
        <v>0</v>
      </c>
      <c r="U219" s="1">
        <f t="shared" si="50"/>
        <v>2</v>
      </c>
      <c r="V219" s="1">
        <f t="shared" si="51"/>
        <v>5</v>
      </c>
      <c r="W219" s="1" t="str">
        <f t="shared" si="52"/>
        <v>BB</v>
      </c>
      <c r="X219" t="s">
        <v>149</v>
      </c>
      <c r="Y219" t="s">
        <v>149</v>
      </c>
      <c r="AJ219">
        <f t="shared" si="53"/>
        <v>101</v>
      </c>
      <c r="AK219">
        <f t="shared" si="54"/>
        <v>111</v>
      </c>
      <c r="AL219">
        <f t="shared" si="55"/>
        <v>5</v>
      </c>
      <c r="AM219">
        <f t="shared" si="45"/>
        <v>7</v>
      </c>
      <c r="AN219">
        <f t="shared" si="56"/>
        <v>5</v>
      </c>
      <c r="AO219">
        <f t="shared" si="57"/>
        <v>7</v>
      </c>
      <c r="AP219">
        <f t="shared" si="58"/>
        <v>0</v>
      </c>
      <c r="AQ219">
        <f t="shared" si="46"/>
        <v>0</v>
      </c>
      <c r="AR219">
        <f t="shared" si="59"/>
        <v>0</v>
      </c>
    </row>
    <row r="220" spans="1:44" x14ac:dyDescent="0.25">
      <c r="A220" t="s">
        <v>258</v>
      </c>
      <c r="B220" t="s">
        <v>5</v>
      </c>
      <c r="D220" t="s">
        <v>6</v>
      </c>
      <c r="E220" t="s">
        <v>7</v>
      </c>
      <c r="F220" t="s">
        <v>1</v>
      </c>
      <c r="G220" t="s">
        <v>3</v>
      </c>
      <c r="H220" t="s">
        <v>4</v>
      </c>
      <c r="I220" s="1" t="s">
        <v>5</v>
      </c>
      <c r="J220" s="1"/>
      <c r="K220" s="1" t="s">
        <v>6</v>
      </c>
      <c r="L220" s="1" t="s">
        <v>7</v>
      </c>
      <c r="M220" s="1" t="b">
        <v>0</v>
      </c>
      <c r="N220" s="1"/>
      <c r="O220">
        <v>0</v>
      </c>
      <c r="P220">
        <v>2</v>
      </c>
      <c r="Q220">
        <v>7</v>
      </c>
      <c r="R220" s="1">
        <f t="shared" si="47"/>
        <v>0</v>
      </c>
      <c r="S220" s="1">
        <f t="shared" si="48"/>
        <v>2</v>
      </c>
      <c r="T220" s="1">
        <f t="shared" si="49"/>
        <v>0</v>
      </c>
      <c r="U220" s="1">
        <f t="shared" si="50"/>
        <v>2</v>
      </c>
      <c r="V220" s="1">
        <f t="shared" si="51"/>
        <v>6</v>
      </c>
      <c r="W220" s="1" t="str">
        <f t="shared" si="52"/>
        <v>BB</v>
      </c>
      <c r="X220" t="s">
        <v>149</v>
      </c>
      <c r="Y220" t="s">
        <v>149</v>
      </c>
      <c r="AJ220">
        <f t="shared" si="53"/>
        <v>110</v>
      </c>
      <c r="AK220">
        <f t="shared" si="54"/>
        <v>111</v>
      </c>
      <c r="AL220">
        <f t="shared" si="55"/>
        <v>6</v>
      </c>
      <c r="AM220">
        <f t="shared" si="45"/>
        <v>7</v>
      </c>
      <c r="AN220">
        <f t="shared" si="56"/>
        <v>6</v>
      </c>
      <c r="AO220">
        <f t="shared" si="57"/>
        <v>7</v>
      </c>
      <c r="AP220">
        <f t="shared" si="58"/>
        <v>0</v>
      </c>
      <c r="AQ220">
        <f t="shared" si="46"/>
        <v>0</v>
      </c>
      <c r="AR220">
        <f t="shared" si="59"/>
        <v>0</v>
      </c>
    </row>
    <row r="221" spans="1:44" x14ac:dyDescent="0.25">
      <c r="A221" t="s">
        <v>259</v>
      </c>
      <c r="B221" t="s">
        <v>5</v>
      </c>
      <c r="C221" t="s">
        <v>6</v>
      </c>
      <c r="D221" t="s">
        <v>7</v>
      </c>
      <c r="E221" t="s">
        <v>43</v>
      </c>
      <c r="F221" t="s">
        <v>1</v>
      </c>
      <c r="G221" t="s">
        <v>2</v>
      </c>
      <c r="H221" t="s">
        <v>3</v>
      </c>
      <c r="I221" s="1" t="s">
        <v>5</v>
      </c>
      <c r="J221" s="1" t="s">
        <v>6</v>
      </c>
      <c r="K221" s="1" t="s">
        <v>7</v>
      </c>
      <c r="L221" s="1" t="s">
        <v>43</v>
      </c>
      <c r="M221" s="1" t="b">
        <v>0</v>
      </c>
      <c r="N221" s="1"/>
      <c r="O221">
        <v>1</v>
      </c>
      <c r="P221">
        <v>2</v>
      </c>
      <c r="Q221">
        <v>7</v>
      </c>
      <c r="R221" s="1">
        <f t="shared" si="47"/>
        <v>1</v>
      </c>
      <c r="S221" s="1">
        <f t="shared" si="48"/>
        <v>2</v>
      </c>
      <c r="T221" s="1">
        <f t="shared" si="49"/>
        <v>0</v>
      </c>
      <c r="U221" s="1">
        <f t="shared" si="50"/>
        <v>2</v>
      </c>
      <c r="V221" s="1">
        <f t="shared" si="51"/>
        <v>7</v>
      </c>
      <c r="W221" s="1" t="str">
        <f t="shared" si="52"/>
        <v>BB</v>
      </c>
      <c r="X221" t="s">
        <v>149</v>
      </c>
      <c r="Y221" t="s">
        <v>149</v>
      </c>
      <c r="AJ221">
        <f t="shared" si="53"/>
        <v>111</v>
      </c>
      <c r="AK221">
        <f t="shared" si="54"/>
        <v>111</v>
      </c>
      <c r="AL221">
        <f t="shared" si="55"/>
        <v>7</v>
      </c>
      <c r="AM221">
        <f t="shared" si="45"/>
        <v>7</v>
      </c>
      <c r="AN221">
        <f t="shared" si="56"/>
        <v>7</v>
      </c>
      <c r="AO221">
        <f t="shared" si="57"/>
        <v>7</v>
      </c>
      <c r="AP221">
        <f t="shared" si="58"/>
        <v>0</v>
      </c>
      <c r="AQ221">
        <f t="shared" si="46"/>
        <v>0</v>
      </c>
      <c r="AR221">
        <f t="shared" si="59"/>
        <v>0</v>
      </c>
    </row>
    <row r="222" spans="1:44" x14ac:dyDescent="0.25">
      <c r="A222" t="s">
        <v>260</v>
      </c>
      <c r="B222">
        <v>0</v>
      </c>
      <c r="C222">
        <v>0</v>
      </c>
      <c r="I222" s="1">
        <v>0</v>
      </c>
      <c r="J222" s="1">
        <v>0</v>
      </c>
      <c r="K222" s="1"/>
      <c r="L222" s="1"/>
      <c r="M222" s="1" t="b">
        <v>0</v>
      </c>
      <c r="N222" s="1"/>
      <c r="O222">
        <v>0</v>
      </c>
      <c r="P222">
        <v>2</v>
      </c>
      <c r="Q222">
        <v>0</v>
      </c>
      <c r="R222" s="1">
        <f t="shared" si="47"/>
        <v>0</v>
      </c>
      <c r="S222" s="1">
        <f t="shared" si="48"/>
        <v>0</v>
      </c>
      <c r="T222" s="1">
        <f t="shared" si="49"/>
        <v>2</v>
      </c>
      <c r="U222" s="1">
        <f t="shared" si="50"/>
        <v>2</v>
      </c>
      <c r="V222" s="1">
        <f t="shared" si="51"/>
        <v>1</v>
      </c>
      <c r="W222" s="1" t="str">
        <f t="shared" si="52"/>
        <v>BDP</v>
      </c>
      <c r="X222" t="s">
        <v>39</v>
      </c>
      <c r="Y222" t="s">
        <v>149</v>
      </c>
      <c r="Z222" t="s">
        <v>261</v>
      </c>
      <c r="AA222" t="s">
        <v>262</v>
      </c>
      <c r="AB222" t="s">
        <v>263</v>
      </c>
      <c r="AC222" t="s">
        <v>263</v>
      </c>
      <c r="AD222" t="s">
        <v>263</v>
      </c>
      <c r="AE222" t="s">
        <v>263</v>
      </c>
      <c r="AF222" t="s">
        <v>263</v>
      </c>
      <c r="AG222" t="s">
        <v>263</v>
      </c>
      <c r="AH222" t="s">
        <v>263</v>
      </c>
      <c r="AI222" t="s">
        <v>263</v>
      </c>
      <c r="AJ222">
        <f t="shared" si="53"/>
        <v>1</v>
      </c>
      <c r="AK222">
        <f t="shared" si="54"/>
        <v>0</v>
      </c>
      <c r="AL222">
        <f t="shared" si="55"/>
        <v>1</v>
      </c>
      <c r="AM222">
        <f t="shared" si="45"/>
        <v>0</v>
      </c>
      <c r="AN222">
        <f t="shared" si="56"/>
        <v>1</v>
      </c>
      <c r="AO222">
        <f t="shared" si="57"/>
        <v>0</v>
      </c>
      <c r="AP222">
        <f t="shared" si="58"/>
        <v>0</v>
      </c>
      <c r="AQ222">
        <f t="shared" si="46"/>
        <v>0</v>
      </c>
      <c r="AR222">
        <f t="shared" si="59"/>
        <v>0</v>
      </c>
    </row>
    <row r="223" spans="1:44" x14ac:dyDescent="0.25">
      <c r="A223" t="s">
        <v>264</v>
      </c>
      <c r="B223">
        <v>0</v>
      </c>
      <c r="D223">
        <v>0</v>
      </c>
      <c r="I223" s="1">
        <v>0</v>
      </c>
      <c r="J223" s="1"/>
      <c r="K223" s="1">
        <v>0</v>
      </c>
      <c r="L223" s="1"/>
      <c r="M223" s="1" t="b">
        <v>0</v>
      </c>
      <c r="N223" s="1"/>
      <c r="O223">
        <v>0</v>
      </c>
      <c r="P223">
        <v>2</v>
      </c>
      <c r="Q223">
        <v>0</v>
      </c>
      <c r="R223" s="1">
        <f t="shared" si="47"/>
        <v>0</v>
      </c>
      <c r="S223" s="1">
        <f t="shared" si="48"/>
        <v>0</v>
      </c>
      <c r="T223" s="1">
        <f t="shared" si="49"/>
        <v>2</v>
      </c>
      <c r="U223" s="1">
        <f t="shared" si="50"/>
        <v>2</v>
      </c>
      <c r="V223" s="1">
        <f t="shared" si="51"/>
        <v>2</v>
      </c>
      <c r="W223" s="1" t="str">
        <f t="shared" si="52"/>
        <v>BDP</v>
      </c>
      <c r="X223" t="s">
        <v>39</v>
      </c>
      <c r="Y223" t="s">
        <v>149</v>
      </c>
      <c r="Z223" t="s">
        <v>261</v>
      </c>
      <c r="AA223" t="s">
        <v>262</v>
      </c>
      <c r="AB223" t="s">
        <v>265</v>
      </c>
      <c r="AC223" t="s">
        <v>265</v>
      </c>
      <c r="AD223" t="s">
        <v>265</v>
      </c>
      <c r="AE223" t="s">
        <v>265</v>
      </c>
      <c r="AF223" t="s">
        <v>265</v>
      </c>
      <c r="AG223" t="s">
        <v>265</v>
      </c>
      <c r="AH223" t="s">
        <v>265</v>
      </c>
      <c r="AI223" t="s">
        <v>265</v>
      </c>
      <c r="AJ223">
        <f t="shared" si="53"/>
        <v>10</v>
      </c>
      <c r="AK223">
        <f t="shared" si="54"/>
        <v>0</v>
      </c>
      <c r="AL223">
        <f t="shared" si="55"/>
        <v>2</v>
      </c>
      <c r="AM223">
        <f t="shared" si="45"/>
        <v>0</v>
      </c>
      <c r="AN223">
        <f t="shared" si="56"/>
        <v>2</v>
      </c>
      <c r="AO223">
        <f t="shared" si="57"/>
        <v>0</v>
      </c>
      <c r="AP223">
        <f t="shared" si="58"/>
        <v>0</v>
      </c>
      <c r="AQ223">
        <f t="shared" si="46"/>
        <v>0</v>
      </c>
      <c r="AR223">
        <f t="shared" si="59"/>
        <v>0</v>
      </c>
    </row>
    <row r="224" spans="1:44" x14ac:dyDescent="0.25">
      <c r="A224" t="s">
        <v>266</v>
      </c>
      <c r="B224">
        <v>0</v>
      </c>
      <c r="E224">
        <v>0</v>
      </c>
      <c r="I224" s="1">
        <v>0</v>
      </c>
      <c r="J224" s="1"/>
      <c r="K224" s="1"/>
      <c r="L224" s="1">
        <v>0</v>
      </c>
      <c r="M224" s="1" t="b">
        <v>0</v>
      </c>
      <c r="N224" s="1"/>
      <c r="O224">
        <v>0</v>
      </c>
      <c r="P224">
        <v>2</v>
      </c>
      <c r="Q224">
        <v>0</v>
      </c>
      <c r="R224" s="1">
        <f t="shared" si="47"/>
        <v>0</v>
      </c>
      <c r="S224" s="1">
        <f t="shared" si="48"/>
        <v>0</v>
      </c>
      <c r="T224" s="1">
        <f t="shared" si="49"/>
        <v>2</v>
      </c>
      <c r="U224" s="1">
        <f t="shared" si="50"/>
        <v>2</v>
      </c>
      <c r="V224" s="1">
        <f t="shared" si="51"/>
        <v>3</v>
      </c>
      <c r="W224" s="1" t="str">
        <f t="shared" si="52"/>
        <v>BDP</v>
      </c>
      <c r="X224" t="s">
        <v>39</v>
      </c>
      <c r="Y224" t="s">
        <v>149</v>
      </c>
      <c r="Z224" t="s">
        <v>261</v>
      </c>
      <c r="AA224" t="s">
        <v>262</v>
      </c>
      <c r="AB224" t="s">
        <v>267</v>
      </c>
      <c r="AC224" t="s">
        <v>267</v>
      </c>
      <c r="AD224" t="s">
        <v>267</v>
      </c>
      <c r="AE224" t="s">
        <v>267</v>
      </c>
      <c r="AF224" t="s">
        <v>267</v>
      </c>
      <c r="AG224" t="s">
        <v>267</v>
      </c>
      <c r="AH224" t="s">
        <v>267</v>
      </c>
      <c r="AI224" t="s">
        <v>267</v>
      </c>
      <c r="AJ224">
        <f t="shared" si="53"/>
        <v>100</v>
      </c>
      <c r="AK224">
        <f t="shared" si="54"/>
        <v>0</v>
      </c>
      <c r="AL224">
        <f t="shared" si="55"/>
        <v>3</v>
      </c>
      <c r="AM224">
        <f t="shared" si="45"/>
        <v>0</v>
      </c>
      <c r="AN224">
        <f t="shared" si="56"/>
        <v>3</v>
      </c>
      <c r="AO224">
        <f t="shared" si="57"/>
        <v>0</v>
      </c>
      <c r="AP224">
        <f t="shared" si="58"/>
        <v>0</v>
      </c>
      <c r="AQ224">
        <f t="shared" si="46"/>
        <v>0</v>
      </c>
      <c r="AR224">
        <f t="shared" si="59"/>
        <v>0</v>
      </c>
    </row>
    <row r="225" spans="1:44" x14ac:dyDescent="0.25">
      <c r="A225" t="s">
        <v>268</v>
      </c>
      <c r="B225">
        <v>0</v>
      </c>
      <c r="C225" t="s">
        <v>5</v>
      </c>
      <c r="D225">
        <v>0</v>
      </c>
      <c r="F225" t="s">
        <v>2</v>
      </c>
      <c r="I225" s="1">
        <v>0</v>
      </c>
      <c r="J225" s="1" t="s">
        <v>5</v>
      </c>
      <c r="K225" s="1">
        <v>0</v>
      </c>
      <c r="L225" s="1"/>
      <c r="M225" s="1" t="b">
        <v>0</v>
      </c>
      <c r="N225" s="1"/>
      <c r="O225">
        <v>0</v>
      </c>
      <c r="P225">
        <v>2</v>
      </c>
      <c r="Q225">
        <v>1</v>
      </c>
      <c r="R225" s="1">
        <f t="shared" si="47"/>
        <v>0</v>
      </c>
      <c r="S225" s="1">
        <f t="shared" si="48"/>
        <v>0</v>
      </c>
      <c r="T225" s="1">
        <f t="shared" si="49"/>
        <v>2</v>
      </c>
      <c r="U225" s="1">
        <f t="shared" si="50"/>
        <v>2</v>
      </c>
      <c r="V225" s="1">
        <f t="shared" si="51"/>
        <v>4</v>
      </c>
      <c r="W225" s="1" t="str">
        <f t="shared" si="52"/>
        <v>BDP</v>
      </c>
      <c r="X225" t="s">
        <v>39</v>
      </c>
      <c r="Y225" t="s">
        <v>149</v>
      </c>
      <c r="Z225" t="s">
        <v>261</v>
      </c>
      <c r="AA225" t="s">
        <v>262</v>
      </c>
      <c r="AB225" t="s">
        <v>265</v>
      </c>
      <c r="AC225" t="s">
        <v>265</v>
      </c>
      <c r="AD225" t="s">
        <v>265</v>
      </c>
      <c r="AE225" t="s">
        <v>265</v>
      </c>
      <c r="AF225" t="s">
        <v>265</v>
      </c>
      <c r="AG225" t="s">
        <v>265</v>
      </c>
      <c r="AH225" t="s">
        <v>265</v>
      </c>
      <c r="AI225" t="s">
        <v>265</v>
      </c>
      <c r="AJ225">
        <f t="shared" si="53"/>
        <v>11</v>
      </c>
      <c r="AK225">
        <f t="shared" si="54"/>
        <v>1</v>
      </c>
      <c r="AL225">
        <f t="shared" si="55"/>
        <v>4</v>
      </c>
      <c r="AM225">
        <f t="shared" si="45"/>
        <v>1</v>
      </c>
      <c r="AN225">
        <f t="shared" si="56"/>
        <v>4</v>
      </c>
      <c r="AO225">
        <f t="shared" si="57"/>
        <v>1</v>
      </c>
      <c r="AP225">
        <f t="shared" si="58"/>
        <v>0</v>
      </c>
      <c r="AQ225">
        <f t="shared" si="46"/>
        <v>0</v>
      </c>
      <c r="AR225">
        <f t="shared" si="59"/>
        <v>0</v>
      </c>
    </row>
    <row r="226" spans="1:44" x14ac:dyDescent="0.25">
      <c r="A226" t="s">
        <v>269</v>
      </c>
      <c r="B226">
        <v>0</v>
      </c>
      <c r="C226" t="s">
        <v>5</v>
      </c>
      <c r="E226">
        <v>0</v>
      </c>
      <c r="F226" t="s">
        <v>2</v>
      </c>
      <c r="I226" s="1">
        <v>0</v>
      </c>
      <c r="J226" s="1" t="s">
        <v>5</v>
      </c>
      <c r="K226" s="1"/>
      <c r="L226" s="1">
        <v>0</v>
      </c>
      <c r="M226" s="1" t="b">
        <v>0</v>
      </c>
      <c r="N226" s="1"/>
      <c r="O226">
        <v>0</v>
      </c>
      <c r="P226">
        <v>2</v>
      </c>
      <c r="Q226">
        <v>1</v>
      </c>
      <c r="R226" s="1">
        <f t="shared" si="47"/>
        <v>0</v>
      </c>
      <c r="S226" s="1">
        <f t="shared" si="48"/>
        <v>0</v>
      </c>
      <c r="T226" s="1">
        <f t="shared" si="49"/>
        <v>2</v>
      </c>
      <c r="U226" s="1">
        <f t="shared" si="50"/>
        <v>2</v>
      </c>
      <c r="V226" s="1">
        <f t="shared" si="51"/>
        <v>5</v>
      </c>
      <c r="W226" s="1" t="str">
        <f t="shared" si="52"/>
        <v>BDP</v>
      </c>
      <c r="X226" t="s">
        <v>39</v>
      </c>
      <c r="Y226" t="s">
        <v>149</v>
      </c>
      <c r="Z226" t="s">
        <v>261</v>
      </c>
      <c r="AA226" t="s">
        <v>262</v>
      </c>
      <c r="AB226" t="s">
        <v>267</v>
      </c>
      <c r="AC226" t="s">
        <v>267</v>
      </c>
      <c r="AD226" t="s">
        <v>267</v>
      </c>
      <c r="AE226" t="s">
        <v>267</v>
      </c>
      <c r="AF226" t="s">
        <v>267</v>
      </c>
      <c r="AG226" t="s">
        <v>267</v>
      </c>
      <c r="AH226" t="s">
        <v>267</v>
      </c>
      <c r="AI226" t="s">
        <v>267</v>
      </c>
      <c r="AJ226">
        <f t="shared" si="53"/>
        <v>101</v>
      </c>
      <c r="AK226">
        <f t="shared" si="54"/>
        <v>1</v>
      </c>
      <c r="AL226">
        <f t="shared" si="55"/>
        <v>5</v>
      </c>
      <c r="AM226">
        <f t="shared" si="45"/>
        <v>1</v>
      </c>
      <c r="AN226">
        <f t="shared" si="56"/>
        <v>5</v>
      </c>
      <c r="AO226">
        <f t="shared" si="57"/>
        <v>1</v>
      </c>
      <c r="AP226">
        <f t="shared" si="58"/>
        <v>0</v>
      </c>
      <c r="AQ226">
        <f t="shared" si="46"/>
        <v>0</v>
      </c>
      <c r="AR226">
        <f t="shared" si="59"/>
        <v>0</v>
      </c>
    </row>
    <row r="227" spans="1:44" x14ac:dyDescent="0.25">
      <c r="A227" t="s">
        <v>270</v>
      </c>
      <c r="B227">
        <v>0</v>
      </c>
      <c r="D227" t="s">
        <v>6</v>
      </c>
      <c r="E227">
        <v>0</v>
      </c>
      <c r="G227" t="s">
        <v>3</v>
      </c>
      <c r="I227" s="1">
        <v>0</v>
      </c>
      <c r="J227" s="1"/>
      <c r="K227" s="1" t="s">
        <v>6</v>
      </c>
      <c r="L227" s="1">
        <v>0</v>
      </c>
      <c r="M227" s="1" t="b">
        <v>0</v>
      </c>
      <c r="N227" s="1"/>
      <c r="O227">
        <v>0</v>
      </c>
      <c r="P227">
        <v>2</v>
      </c>
      <c r="Q227">
        <v>2</v>
      </c>
      <c r="R227" s="1">
        <f t="shared" si="47"/>
        <v>0</v>
      </c>
      <c r="S227" s="1">
        <f t="shared" si="48"/>
        <v>0</v>
      </c>
      <c r="T227" s="1">
        <f t="shared" si="49"/>
        <v>2</v>
      </c>
      <c r="U227" s="1">
        <f t="shared" si="50"/>
        <v>2</v>
      </c>
      <c r="V227" s="1">
        <f t="shared" si="51"/>
        <v>6</v>
      </c>
      <c r="W227" s="1" t="str">
        <f t="shared" si="52"/>
        <v>BDP</v>
      </c>
      <c r="X227" t="s">
        <v>39</v>
      </c>
      <c r="Y227" t="s">
        <v>149</v>
      </c>
      <c r="Z227" t="s">
        <v>261</v>
      </c>
      <c r="AA227" t="s">
        <v>262</v>
      </c>
      <c r="AB227" t="s">
        <v>267</v>
      </c>
      <c r="AC227" t="s">
        <v>267</v>
      </c>
      <c r="AD227" t="s">
        <v>267</v>
      </c>
      <c r="AE227" t="s">
        <v>267</v>
      </c>
      <c r="AF227" t="s">
        <v>267</v>
      </c>
      <c r="AG227" t="s">
        <v>267</v>
      </c>
      <c r="AH227" t="s">
        <v>267</v>
      </c>
      <c r="AI227" t="s">
        <v>267</v>
      </c>
      <c r="AJ227">
        <f t="shared" si="53"/>
        <v>110</v>
      </c>
      <c r="AK227">
        <f t="shared" si="54"/>
        <v>10</v>
      </c>
      <c r="AL227">
        <f t="shared" si="55"/>
        <v>6</v>
      </c>
      <c r="AM227">
        <f t="shared" si="45"/>
        <v>2</v>
      </c>
      <c r="AN227">
        <f t="shared" si="56"/>
        <v>6</v>
      </c>
      <c r="AO227">
        <f t="shared" si="57"/>
        <v>2</v>
      </c>
      <c r="AP227">
        <f t="shared" si="58"/>
        <v>0</v>
      </c>
      <c r="AQ227">
        <f t="shared" si="46"/>
        <v>0</v>
      </c>
      <c r="AR227">
        <f t="shared" si="59"/>
        <v>0</v>
      </c>
    </row>
    <row r="228" spans="1:44" x14ac:dyDescent="0.25">
      <c r="A228" t="s">
        <v>271</v>
      </c>
      <c r="B228">
        <v>0</v>
      </c>
      <c r="C228" t="s">
        <v>5</v>
      </c>
      <c r="D228" t="s">
        <v>6</v>
      </c>
      <c r="E228">
        <v>0</v>
      </c>
      <c r="F228" t="s">
        <v>2</v>
      </c>
      <c r="G228" t="s">
        <v>3</v>
      </c>
      <c r="I228" s="1">
        <v>0</v>
      </c>
      <c r="J228" s="1" t="s">
        <v>5</v>
      </c>
      <c r="K228" s="1" t="s">
        <v>6</v>
      </c>
      <c r="L228" s="1">
        <v>0</v>
      </c>
      <c r="M228" s="1" t="b">
        <v>0</v>
      </c>
      <c r="N228" s="1"/>
      <c r="O228">
        <v>0</v>
      </c>
      <c r="P228">
        <v>2</v>
      </c>
      <c r="Q228">
        <v>4</v>
      </c>
      <c r="R228" s="1">
        <f t="shared" si="47"/>
        <v>0</v>
      </c>
      <c r="S228" s="1">
        <f t="shared" si="48"/>
        <v>0</v>
      </c>
      <c r="T228" s="1">
        <f t="shared" si="49"/>
        <v>2</v>
      </c>
      <c r="U228" s="1">
        <f t="shared" si="50"/>
        <v>2</v>
      </c>
      <c r="V228" s="1">
        <f t="shared" si="51"/>
        <v>7</v>
      </c>
      <c r="W228" s="1" t="str">
        <f t="shared" si="52"/>
        <v>BDP</v>
      </c>
      <c r="X228" t="s">
        <v>39</v>
      </c>
      <c r="Y228" t="s">
        <v>149</v>
      </c>
      <c r="Z228" t="s">
        <v>261</v>
      </c>
      <c r="AA228" t="s">
        <v>262</v>
      </c>
      <c r="AB228" t="s">
        <v>267</v>
      </c>
      <c r="AC228" t="s">
        <v>267</v>
      </c>
      <c r="AD228" t="s">
        <v>267</v>
      </c>
      <c r="AE228" t="s">
        <v>267</v>
      </c>
      <c r="AF228" t="s">
        <v>267</v>
      </c>
      <c r="AG228" t="s">
        <v>267</v>
      </c>
      <c r="AH228" t="s">
        <v>267</v>
      </c>
      <c r="AI228" t="s">
        <v>267</v>
      </c>
      <c r="AJ228">
        <f t="shared" si="53"/>
        <v>111</v>
      </c>
      <c r="AK228">
        <f t="shared" si="54"/>
        <v>11</v>
      </c>
      <c r="AL228">
        <f t="shared" si="55"/>
        <v>7</v>
      </c>
      <c r="AM228">
        <f t="shared" si="45"/>
        <v>4</v>
      </c>
      <c r="AN228">
        <f t="shared" si="56"/>
        <v>7</v>
      </c>
      <c r="AO228">
        <f t="shared" si="57"/>
        <v>4</v>
      </c>
      <c r="AP228">
        <f t="shared" si="58"/>
        <v>0</v>
      </c>
      <c r="AQ228">
        <f t="shared" si="46"/>
        <v>0</v>
      </c>
      <c r="AR228">
        <f t="shared" si="59"/>
        <v>0</v>
      </c>
    </row>
    <row r="229" spans="1:44" x14ac:dyDescent="0.25">
      <c r="A229" t="s">
        <v>272</v>
      </c>
      <c r="B229">
        <v>0</v>
      </c>
      <c r="C229">
        <v>0</v>
      </c>
      <c r="I229" s="1">
        <v>0</v>
      </c>
      <c r="J229" s="1">
        <v>0</v>
      </c>
      <c r="K229" s="1"/>
      <c r="L229" s="1"/>
      <c r="M229" s="1" t="b">
        <v>0</v>
      </c>
      <c r="N229" s="1"/>
      <c r="O229">
        <v>0</v>
      </c>
      <c r="P229">
        <v>3</v>
      </c>
      <c r="Q229">
        <v>0</v>
      </c>
      <c r="R229" s="1">
        <f t="shared" si="47"/>
        <v>0</v>
      </c>
      <c r="S229" s="1">
        <f t="shared" si="48"/>
        <v>1</v>
      </c>
      <c r="T229" s="1">
        <f t="shared" si="49"/>
        <v>2</v>
      </c>
      <c r="U229" s="1">
        <f t="shared" si="50"/>
        <v>3</v>
      </c>
      <c r="V229" s="1">
        <f t="shared" si="51"/>
        <v>1</v>
      </c>
      <c r="W229" s="1" t="str">
        <f t="shared" si="52"/>
        <v>BDP</v>
      </c>
      <c r="X229" t="s">
        <v>39</v>
      </c>
      <c r="Y229" t="s">
        <v>149</v>
      </c>
      <c r="Z229" t="s">
        <v>261</v>
      </c>
      <c r="AA229" t="s">
        <v>262</v>
      </c>
      <c r="AB229" t="s">
        <v>263</v>
      </c>
      <c r="AC229" t="s">
        <v>263</v>
      </c>
      <c r="AD229" t="s">
        <v>263</v>
      </c>
      <c r="AE229" t="s">
        <v>263</v>
      </c>
      <c r="AF229" t="s">
        <v>263</v>
      </c>
      <c r="AG229" t="s">
        <v>263</v>
      </c>
      <c r="AH229" t="s">
        <v>263</v>
      </c>
      <c r="AI229" t="s">
        <v>263</v>
      </c>
      <c r="AJ229">
        <f t="shared" si="53"/>
        <v>1</v>
      </c>
      <c r="AK229">
        <f t="shared" si="54"/>
        <v>0</v>
      </c>
      <c r="AL229">
        <f t="shared" si="55"/>
        <v>1</v>
      </c>
      <c r="AM229">
        <f t="shared" si="45"/>
        <v>0</v>
      </c>
      <c r="AN229">
        <f t="shared" si="56"/>
        <v>1</v>
      </c>
      <c r="AO229">
        <f t="shared" si="57"/>
        <v>0</v>
      </c>
      <c r="AP229">
        <f t="shared" si="58"/>
        <v>0</v>
      </c>
      <c r="AQ229">
        <f t="shared" si="46"/>
        <v>0</v>
      </c>
      <c r="AR229">
        <f t="shared" si="59"/>
        <v>0</v>
      </c>
    </row>
    <row r="230" spans="1:44" x14ac:dyDescent="0.25">
      <c r="A230" t="s">
        <v>273</v>
      </c>
      <c r="B230">
        <v>0</v>
      </c>
      <c r="D230">
        <v>0</v>
      </c>
      <c r="I230" s="1">
        <v>0</v>
      </c>
      <c r="J230" s="1"/>
      <c r="K230" s="1">
        <v>0</v>
      </c>
      <c r="L230" s="1"/>
      <c r="M230" s="1" t="b">
        <v>0</v>
      </c>
      <c r="N230" s="1"/>
      <c r="O230">
        <v>0</v>
      </c>
      <c r="P230">
        <v>3</v>
      </c>
      <c r="Q230">
        <v>0</v>
      </c>
      <c r="R230" s="1">
        <f t="shared" si="47"/>
        <v>0</v>
      </c>
      <c r="S230" s="1">
        <f t="shared" si="48"/>
        <v>1</v>
      </c>
      <c r="T230" s="1">
        <f t="shared" si="49"/>
        <v>2</v>
      </c>
      <c r="U230" s="1">
        <f t="shared" si="50"/>
        <v>3</v>
      </c>
      <c r="V230" s="1">
        <f t="shared" si="51"/>
        <v>2</v>
      </c>
      <c r="W230" s="1" t="str">
        <f t="shared" si="52"/>
        <v>BDP</v>
      </c>
      <c r="X230" t="s">
        <v>39</v>
      </c>
      <c r="Y230" t="s">
        <v>149</v>
      </c>
      <c r="Z230" t="s">
        <v>261</v>
      </c>
      <c r="AA230" t="s">
        <v>262</v>
      </c>
      <c r="AB230" t="s">
        <v>265</v>
      </c>
      <c r="AC230" t="s">
        <v>265</v>
      </c>
      <c r="AD230" t="s">
        <v>265</v>
      </c>
      <c r="AE230" t="s">
        <v>265</v>
      </c>
      <c r="AF230" t="s">
        <v>265</v>
      </c>
      <c r="AG230" t="s">
        <v>265</v>
      </c>
      <c r="AH230" t="s">
        <v>265</v>
      </c>
      <c r="AI230" t="s">
        <v>265</v>
      </c>
      <c r="AJ230">
        <f t="shared" si="53"/>
        <v>10</v>
      </c>
      <c r="AK230">
        <f t="shared" si="54"/>
        <v>0</v>
      </c>
      <c r="AL230">
        <f t="shared" si="55"/>
        <v>2</v>
      </c>
      <c r="AM230">
        <f t="shared" si="45"/>
        <v>0</v>
      </c>
      <c r="AN230">
        <f t="shared" si="56"/>
        <v>2</v>
      </c>
      <c r="AO230">
        <f t="shared" si="57"/>
        <v>0</v>
      </c>
      <c r="AP230">
        <f t="shared" si="58"/>
        <v>0</v>
      </c>
      <c r="AQ230">
        <f t="shared" si="46"/>
        <v>0</v>
      </c>
      <c r="AR230">
        <f t="shared" si="59"/>
        <v>0</v>
      </c>
    </row>
    <row r="231" spans="1:44" x14ac:dyDescent="0.25">
      <c r="A231" t="s">
        <v>274</v>
      </c>
      <c r="B231">
        <v>0</v>
      </c>
      <c r="E231">
        <v>0</v>
      </c>
      <c r="I231" s="1">
        <v>0</v>
      </c>
      <c r="J231" s="1"/>
      <c r="K231" s="1"/>
      <c r="L231" s="1">
        <v>0</v>
      </c>
      <c r="M231" s="1" t="b">
        <v>0</v>
      </c>
      <c r="N231" s="1"/>
      <c r="O231">
        <v>0</v>
      </c>
      <c r="P231">
        <v>3</v>
      </c>
      <c r="Q231">
        <v>0</v>
      </c>
      <c r="R231" s="1">
        <f t="shared" si="47"/>
        <v>0</v>
      </c>
      <c r="S231" s="1">
        <f t="shared" si="48"/>
        <v>1</v>
      </c>
      <c r="T231" s="1">
        <f t="shared" si="49"/>
        <v>2</v>
      </c>
      <c r="U231" s="1">
        <f t="shared" si="50"/>
        <v>3</v>
      </c>
      <c r="V231" s="1">
        <f t="shared" si="51"/>
        <v>3</v>
      </c>
      <c r="W231" s="1" t="str">
        <f t="shared" si="52"/>
        <v>BDP</v>
      </c>
      <c r="X231" t="s">
        <v>39</v>
      </c>
      <c r="Y231" t="s">
        <v>149</v>
      </c>
      <c r="Z231" t="s">
        <v>261</v>
      </c>
      <c r="AA231" t="s">
        <v>262</v>
      </c>
      <c r="AB231" t="s">
        <v>267</v>
      </c>
      <c r="AC231" t="s">
        <v>267</v>
      </c>
      <c r="AD231" t="s">
        <v>267</v>
      </c>
      <c r="AE231" t="s">
        <v>267</v>
      </c>
      <c r="AF231" t="s">
        <v>267</v>
      </c>
      <c r="AG231" t="s">
        <v>267</v>
      </c>
      <c r="AH231" t="s">
        <v>267</v>
      </c>
      <c r="AI231" t="s">
        <v>267</v>
      </c>
      <c r="AJ231">
        <f t="shared" si="53"/>
        <v>100</v>
      </c>
      <c r="AK231">
        <f t="shared" si="54"/>
        <v>0</v>
      </c>
      <c r="AL231">
        <f t="shared" si="55"/>
        <v>3</v>
      </c>
      <c r="AM231">
        <f t="shared" si="45"/>
        <v>0</v>
      </c>
      <c r="AN231">
        <f t="shared" si="56"/>
        <v>3</v>
      </c>
      <c r="AO231">
        <f t="shared" si="57"/>
        <v>0</v>
      </c>
      <c r="AP231">
        <f t="shared" si="58"/>
        <v>0</v>
      </c>
      <c r="AQ231">
        <f t="shared" si="46"/>
        <v>0</v>
      </c>
      <c r="AR231">
        <f t="shared" si="59"/>
        <v>0</v>
      </c>
    </row>
    <row r="232" spans="1:44" x14ac:dyDescent="0.25">
      <c r="A232" t="s">
        <v>275</v>
      </c>
      <c r="B232">
        <v>0</v>
      </c>
      <c r="C232" t="s">
        <v>5</v>
      </c>
      <c r="D232">
        <v>0</v>
      </c>
      <c r="F232" t="s">
        <v>2</v>
      </c>
      <c r="I232" s="1">
        <v>0</v>
      </c>
      <c r="J232" s="1" t="s">
        <v>5</v>
      </c>
      <c r="K232" s="1">
        <v>0</v>
      </c>
      <c r="L232" s="1"/>
      <c r="M232" s="1" t="b">
        <v>0</v>
      </c>
      <c r="N232" s="1"/>
      <c r="O232">
        <v>0</v>
      </c>
      <c r="P232">
        <v>3</v>
      </c>
      <c r="Q232">
        <v>1</v>
      </c>
      <c r="R232" s="1">
        <f t="shared" si="47"/>
        <v>0</v>
      </c>
      <c r="S232" s="1">
        <f t="shared" si="48"/>
        <v>1</v>
      </c>
      <c r="T232" s="1">
        <f t="shared" si="49"/>
        <v>2</v>
      </c>
      <c r="U232" s="1">
        <f t="shared" si="50"/>
        <v>3</v>
      </c>
      <c r="V232" s="1">
        <f t="shared" si="51"/>
        <v>4</v>
      </c>
      <c r="W232" s="1" t="str">
        <f t="shared" si="52"/>
        <v>BDP</v>
      </c>
      <c r="X232" t="s">
        <v>39</v>
      </c>
      <c r="Y232" t="s">
        <v>149</v>
      </c>
      <c r="Z232" t="s">
        <v>261</v>
      </c>
      <c r="AA232" t="s">
        <v>262</v>
      </c>
      <c r="AB232" t="s">
        <v>265</v>
      </c>
      <c r="AC232" t="s">
        <v>265</v>
      </c>
      <c r="AD232" t="s">
        <v>265</v>
      </c>
      <c r="AE232" t="s">
        <v>265</v>
      </c>
      <c r="AF232" t="s">
        <v>265</v>
      </c>
      <c r="AG232" t="s">
        <v>265</v>
      </c>
      <c r="AH232" t="s">
        <v>265</v>
      </c>
      <c r="AI232" t="s">
        <v>265</v>
      </c>
      <c r="AJ232">
        <f t="shared" si="53"/>
        <v>11</v>
      </c>
      <c r="AK232">
        <f t="shared" si="54"/>
        <v>1</v>
      </c>
      <c r="AL232">
        <f t="shared" si="55"/>
        <v>4</v>
      </c>
      <c r="AM232">
        <f t="shared" si="45"/>
        <v>1</v>
      </c>
      <c r="AN232">
        <f t="shared" si="56"/>
        <v>4</v>
      </c>
      <c r="AO232">
        <f t="shared" si="57"/>
        <v>1</v>
      </c>
      <c r="AP232">
        <f t="shared" si="58"/>
        <v>0</v>
      </c>
      <c r="AQ232">
        <f t="shared" si="46"/>
        <v>0</v>
      </c>
      <c r="AR232">
        <f t="shared" si="59"/>
        <v>0</v>
      </c>
    </row>
    <row r="233" spans="1:44" x14ac:dyDescent="0.25">
      <c r="A233" t="s">
        <v>276</v>
      </c>
      <c r="B233">
        <v>0</v>
      </c>
      <c r="C233" t="s">
        <v>5</v>
      </c>
      <c r="E233">
        <v>0</v>
      </c>
      <c r="F233" t="s">
        <v>2</v>
      </c>
      <c r="I233" s="1">
        <v>0</v>
      </c>
      <c r="J233" s="1" t="s">
        <v>5</v>
      </c>
      <c r="K233" s="1"/>
      <c r="L233" s="1">
        <v>0</v>
      </c>
      <c r="M233" s="1" t="b">
        <v>0</v>
      </c>
      <c r="N233" s="1"/>
      <c r="O233">
        <v>0</v>
      </c>
      <c r="P233">
        <v>3</v>
      </c>
      <c r="Q233">
        <v>1</v>
      </c>
      <c r="R233" s="1">
        <f t="shared" si="47"/>
        <v>0</v>
      </c>
      <c r="S233" s="1">
        <f t="shared" si="48"/>
        <v>1</v>
      </c>
      <c r="T233" s="1">
        <f t="shared" si="49"/>
        <v>2</v>
      </c>
      <c r="U233" s="1">
        <f t="shared" si="50"/>
        <v>3</v>
      </c>
      <c r="V233" s="1">
        <f t="shared" si="51"/>
        <v>5</v>
      </c>
      <c r="W233" s="1" t="str">
        <f t="shared" si="52"/>
        <v>BDP</v>
      </c>
      <c r="X233" t="s">
        <v>39</v>
      </c>
      <c r="Y233" t="s">
        <v>149</v>
      </c>
      <c r="Z233" t="s">
        <v>261</v>
      </c>
      <c r="AA233" t="s">
        <v>262</v>
      </c>
      <c r="AB233" t="s">
        <v>267</v>
      </c>
      <c r="AC233" t="s">
        <v>267</v>
      </c>
      <c r="AD233" t="s">
        <v>267</v>
      </c>
      <c r="AE233" t="s">
        <v>267</v>
      </c>
      <c r="AF233" t="s">
        <v>267</v>
      </c>
      <c r="AG233" t="s">
        <v>267</v>
      </c>
      <c r="AH233" t="s">
        <v>267</v>
      </c>
      <c r="AI233" t="s">
        <v>267</v>
      </c>
      <c r="AJ233">
        <f t="shared" si="53"/>
        <v>101</v>
      </c>
      <c r="AK233">
        <f t="shared" si="54"/>
        <v>1</v>
      </c>
      <c r="AL233">
        <f t="shared" si="55"/>
        <v>5</v>
      </c>
      <c r="AM233">
        <f t="shared" si="45"/>
        <v>1</v>
      </c>
      <c r="AN233">
        <f t="shared" si="56"/>
        <v>5</v>
      </c>
      <c r="AO233">
        <f t="shared" si="57"/>
        <v>1</v>
      </c>
      <c r="AP233">
        <f t="shared" si="58"/>
        <v>0</v>
      </c>
      <c r="AQ233">
        <f t="shared" si="46"/>
        <v>0</v>
      </c>
      <c r="AR233">
        <f t="shared" si="59"/>
        <v>0</v>
      </c>
    </row>
    <row r="234" spans="1:44" x14ac:dyDescent="0.25">
      <c r="A234" t="s">
        <v>277</v>
      </c>
      <c r="B234">
        <v>0</v>
      </c>
      <c r="D234" t="s">
        <v>6</v>
      </c>
      <c r="E234">
        <v>0</v>
      </c>
      <c r="G234" t="s">
        <v>3</v>
      </c>
      <c r="I234" s="1">
        <v>0</v>
      </c>
      <c r="J234" s="1"/>
      <c r="K234" s="1" t="s">
        <v>6</v>
      </c>
      <c r="L234" s="1">
        <v>0</v>
      </c>
      <c r="M234" s="1" t="b">
        <v>0</v>
      </c>
      <c r="N234" s="1"/>
      <c r="O234">
        <v>0</v>
      </c>
      <c r="P234">
        <v>3</v>
      </c>
      <c r="Q234">
        <v>2</v>
      </c>
      <c r="R234" s="1">
        <f t="shared" si="47"/>
        <v>0</v>
      </c>
      <c r="S234" s="1">
        <f t="shared" si="48"/>
        <v>1</v>
      </c>
      <c r="T234" s="1">
        <f t="shared" si="49"/>
        <v>2</v>
      </c>
      <c r="U234" s="1">
        <f t="shared" si="50"/>
        <v>3</v>
      </c>
      <c r="V234" s="1">
        <f t="shared" si="51"/>
        <v>6</v>
      </c>
      <c r="W234" s="1" t="str">
        <f t="shared" si="52"/>
        <v>BDP</v>
      </c>
      <c r="X234" t="s">
        <v>39</v>
      </c>
      <c r="Y234" t="s">
        <v>149</v>
      </c>
      <c r="Z234" t="s">
        <v>261</v>
      </c>
      <c r="AA234" t="s">
        <v>262</v>
      </c>
      <c r="AB234" t="s">
        <v>267</v>
      </c>
      <c r="AC234" t="s">
        <v>267</v>
      </c>
      <c r="AD234" t="s">
        <v>267</v>
      </c>
      <c r="AE234" t="s">
        <v>267</v>
      </c>
      <c r="AF234" t="s">
        <v>267</v>
      </c>
      <c r="AG234" t="s">
        <v>267</v>
      </c>
      <c r="AH234" t="s">
        <v>267</v>
      </c>
      <c r="AI234" t="s">
        <v>267</v>
      </c>
      <c r="AJ234">
        <f t="shared" si="53"/>
        <v>110</v>
      </c>
      <c r="AK234">
        <f t="shared" si="54"/>
        <v>10</v>
      </c>
      <c r="AL234">
        <f t="shared" si="55"/>
        <v>6</v>
      </c>
      <c r="AM234">
        <f t="shared" si="45"/>
        <v>2</v>
      </c>
      <c r="AN234">
        <f t="shared" si="56"/>
        <v>6</v>
      </c>
      <c r="AO234">
        <f t="shared" si="57"/>
        <v>2</v>
      </c>
      <c r="AP234">
        <f t="shared" si="58"/>
        <v>0</v>
      </c>
      <c r="AQ234">
        <f t="shared" si="46"/>
        <v>0</v>
      </c>
      <c r="AR234">
        <f t="shared" si="59"/>
        <v>0</v>
      </c>
    </row>
    <row r="235" spans="1:44" x14ac:dyDescent="0.25">
      <c r="A235" t="s">
        <v>278</v>
      </c>
      <c r="B235">
        <v>0</v>
      </c>
      <c r="C235" t="s">
        <v>5</v>
      </c>
      <c r="D235" t="s">
        <v>6</v>
      </c>
      <c r="E235">
        <v>0</v>
      </c>
      <c r="F235" t="s">
        <v>2</v>
      </c>
      <c r="G235" t="s">
        <v>3</v>
      </c>
      <c r="I235" s="1">
        <v>0</v>
      </c>
      <c r="J235" s="1" t="s">
        <v>5</v>
      </c>
      <c r="K235" s="1" t="s">
        <v>6</v>
      </c>
      <c r="L235" s="1">
        <v>0</v>
      </c>
      <c r="M235" s="1" t="b">
        <v>0</v>
      </c>
      <c r="N235" s="1"/>
      <c r="O235">
        <v>0</v>
      </c>
      <c r="P235">
        <v>3</v>
      </c>
      <c r="Q235">
        <v>4</v>
      </c>
      <c r="R235" s="1">
        <f t="shared" si="47"/>
        <v>0</v>
      </c>
      <c r="S235" s="1">
        <f t="shared" si="48"/>
        <v>1</v>
      </c>
      <c r="T235" s="1">
        <f t="shared" si="49"/>
        <v>2</v>
      </c>
      <c r="U235" s="1">
        <f t="shared" si="50"/>
        <v>3</v>
      </c>
      <c r="V235" s="1">
        <f t="shared" si="51"/>
        <v>7</v>
      </c>
      <c r="W235" s="1" t="str">
        <f t="shared" si="52"/>
        <v>BDP</v>
      </c>
      <c r="X235" t="s">
        <v>39</v>
      </c>
      <c r="Y235" t="s">
        <v>149</v>
      </c>
      <c r="Z235" t="s">
        <v>261</v>
      </c>
      <c r="AA235" t="s">
        <v>262</v>
      </c>
      <c r="AB235" t="s">
        <v>267</v>
      </c>
      <c r="AC235" t="s">
        <v>267</v>
      </c>
      <c r="AD235" t="s">
        <v>267</v>
      </c>
      <c r="AE235" t="s">
        <v>267</v>
      </c>
      <c r="AF235" t="s">
        <v>267</v>
      </c>
      <c r="AG235" t="s">
        <v>267</v>
      </c>
      <c r="AH235" t="s">
        <v>267</v>
      </c>
      <c r="AI235" t="s">
        <v>267</v>
      </c>
      <c r="AJ235">
        <f t="shared" si="53"/>
        <v>111</v>
      </c>
      <c r="AK235">
        <f t="shared" si="54"/>
        <v>11</v>
      </c>
      <c r="AL235">
        <f t="shared" si="55"/>
        <v>7</v>
      </c>
      <c r="AM235">
        <f t="shared" si="45"/>
        <v>4</v>
      </c>
      <c r="AN235">
        <f t="shared" si="56"/>
        <v>7</v>
      </c>
      <c r="AO235">
        <f t="shared" si="57"/>
        <v>4</v>
      </c>
      <c r="AP235">
        <f t="shared" si="58"/>
        <v>0</v>
      </c>
      <c r="AQ235">
        <f t="shared" si="46"/>
        <v>0</v>
      </c>
      <c r="AR235">
        <f t="shared" si="59"/>
        <v>0</v>
      </c>
    </row>
    <row r="236" spans="1:44" x14ac:dyDescent="0.25">
      <c r="A236" t="s">
        <v>279</v>
      </c>
      <c r="B236" t="s">
        <v>5</v>
      </c>
      <c r="C236">
        <v>0</v>
      </c>
      <c r="F236" t="s">
        <v>1</v>
      </c>
      <c r="I236" s="1" t="s">
        <v>5</v>
      </c>
      <c r="J236" s="1">
        <v>0</v>
      </c>
      <c r="K236" s="1"/>
      <c r="L236" s="1"/>
      <c r="M236" s="1" t="b">
        <v>0</v>
      </c>
      <c r="N236" s="1"/>
      <c r="O236">
        <v>0</v>
      </c>
      <c r="P236">
        <v>1</v>
      </c>
      <c r="Q236">
        <v>1</v>
      </c>
      <c r="R236" s="1">
        <f t="shared" si="47"/>
        <v>0</v>
      </c>
      <c r="S236" s="1">
        <f t="shared" si="48"/>
        <v>0</v>
      </c>
      <c r="T236" s="1">
        <f t="shared" si="49"/>
        <v>1</v>
      </c>
      <c r="U236" s="1">
        <f t="shared" si="50"/>
        <v>1</v>
      </c>
      <c r="V236" s="1">
        <f t="shared" si="51"/>
        <v>1</v>
      </c>
      <c r="W236" s="1" t="str">
        <f t="shared" si="52"/>
        <v>BFC</v>
      </c>
      <c r="X236" t="s">
        <v>39</v>
      </c>
      <c r="Y236" t="s">
        <v>149</v>
      </c>
      <c r="Z236" t="s">
        <v>261</v>
      </c>
      <c r="AA236" t="s">
        <v>262</v>
      </c>
      <c r="AB236">
        <v>2</v>
      </c>
      <c r="AJ236">
        <f t="shared" si="53"/>
        <v>1</v>
      </c>
      <c r="AK236">
        <f t="shared" si="54"/>
        <v>1</v>
      </c>
      <c r="AL236">
        <f t="shared" si="55"/>
        <v>1</v>
      </c>
      <c r="AM236">
        <f t="shared" si="45"/>
        <v>1</v>
      </c>
      <c r="AN236">
        <f t="shared" si="56"/>
        <v>1</v>
      </c>
      <c r="AO236">
        <f t="shared" si="57"/>
        <v>1</v>
      </c>
      <c r="AP236">
        <f t="shared" si="58"/>
        <v>0</v>
      </c>
      <c r="AQ236">
        <f t="shared" si="46"/>
        <v>0</v>
      </c>
      <c r="AR236">
        <f t="shared" si="59"/>
        <v>0</v>
      </c>
    </row>
    <row r="237" spans="1:44" x14ac:dyDescent="0.25">
      <c r="A237" t="s">
        <v>280</v>
      </c>
      <c r="B237" t="s">
        <v>5</v>
      </c>
      <c r="D237">
        <v>0</v>
      </c>
      <c r="F237" t="s">
        <v>1</v>
      </c>
      <c r="I237" s="1" t="s">
        <v>5</v>
      </c>
      <c r="J237" s="1"/>
      <c r="K237" s="1">
        <v>0</v>
      </c>
      <c r="L237" s="1"/>
      <c r="M237" s="1" t="b">
        <v>0</v>
      </c>
      <c r="N237" s="1"/>
      <c r="O237">
        <v>0</v>
      </c>
      <c r="P237">
        <v>1</v>
      </c>
      <c r="Q237">
        <v>1</v>
      </c>
      <c r="R237" s="1">
        <f t="shared" si="47"/>
        <v>0</v>
      </c>
      <c r="S237" s="1">
        <f t="shared" si="48"/>
        <v>0</v>
      </c>
      <c r="T237" s="1">
        <f t="shared" si="49"/>
        <v>1</v>
      </c>
      <c r="U237" s="1">
        <f t="shared" si="50"/>
        <v>1</v>
      </c>
      <c r="V237" s="1">
        <f t="shared" si="51"/>
        <v>2</v>
      </c>
      <c r="W237" s="1" t="str">
        <f t="shared" si="52"/>
        <v>BFC</v>
      </c>
      <c r="X237" t="s">
        <v>39</v>
      </c>
      <c r="Y237" t="s">
        <v>149</v>
      </c>
      <c r="Z237" t="s">
        <v>261</v>
      </c>
      <c r="AA237" t="s">
        <v>262</v>
      </c>
      <c r="AB237">
        <v>3</v>
      </c>
      <c r="AJ237">
        <f t="shared" si="53"/>
        <v>10</v>
      </c>
      <c r="AK237">
        <f t="shared" si="54"/>
        <v>1</v>
      </c>
      <c r="AL237">
        <f t="shared" si="55"/>
        <v>2</v>
      </c>
      <c r="AM237">
        <f t="shared" si="45"/>
        <v>1</v>
      </c>
      <c r="AN237">
        <f t="shared" si="56"/>
        <v>2</v>
      </c>
      <c r="AO237">
        <f t="shared" si="57"/>
        <v>1</v>
      </c>
      <c r="AP237">
        <f t="shared" si="58"/>
        <v>0</v>
      </c>
      <c r="AQ237">
        <f t="shared" si="46"/>
        <v>0</v>
      </c>
      <c r="AR237">
        <f t="shared" si="59"/>
        <v>0</v>
      </c>
    </row>
    <row r="238" spans="1:44" x14ac:dyDescent="0.25">
      <c r="A238" t="s">
        <v>281</v>
      </c>
      <c r="B238" t="s">
        <v>5</v>
      </c>
      <c r="E238">
        <v>0</v>
      </c>
      <c r="F238" t="s">
        <v>1</v>
      </c>
      <c r="I238" s="1" t="s">
        <v>5</v>
      </c>
      <c r="J238" s="1"/>
      <c r="K238" s="1"/>
      <c r="L238" s="1">
        <v>0</v>
      </c>
      <c r="M238" s="1" t="b">
        <v>0</v>
      </c>
      <c r="N238" s="1"/>
      <c r="O238">
        <v>0</v>
      </c>
      <c r="P238">
        <v>1</v>
      </c>
      <c r="Q238">
        <v>1</v>
      </c>
      <c r="R238" s="1">
        <f t="shared" si="47"/>
        <v>0</v>
      </c>
      <c r="S238" s="1">
        <f t="shared" si="48"/>
        <v>0</v>
      </c>
      <c r="T238" s="1">
        <f t="shared" si="49"/>
        <v>1</v>
      </c>
      <c r="U238" s="1">
        <f t="shared" si="50"/>
        <v>1</v>
      </c>
      <c r="V238" s="1">
        <f t="shared" si="51"/>
        <v>3</v>
      </c>
      <c r="W238" s="1" t="str">
        <f t="shared" si="52"/>
        <v>BFC</v>
      </c>
      <c r="X238" t="s">
        <v>39</v>
      </c>
      <c r="Y238" t="s">
        <v>149</v>
      </c>
      <c r="Z238" t="s">
        <v>261</v>
      </c>
      <c r="AA238" t="s">
        <v>262</v>
      </c>
      <c r="AB238">
        <v>4</v>
      </c>
      <c r="AJ238">
        <f t="shared" si="53"/>
        <v>100</v>
      </c>
      <c r="AK238">
        <f t="shared" si="54"/>
        <v>1</v>
      </c>
      <c r="AL238">
        <f t="shared" si="55"/>
        <v>3</v>
      </c>
      <c r="AM238">
        <f t="shared" si="45"/>
        <v>1</v>
      </c>
      <c r="AN238">
        <f t="shared" si="56"/>
        <v>3</v>
      </c>
      <c r="AO238">
        <f t="shared" si="57"/>
        <v>1</v>
      </c>
      <c r="AP238">
        <f t="shared" si="58"/>
        <v>0</v>
      </c>
      <c r="AQ238">
        <f t="shared" si="46"/>
        <v>0</v>
      </c>
      <c r="AR238">
        <f t="shared" si="59"/>
        <v>0</v>
      </c>
    </row>
    <row r="239" spans="1:44" x14ac:dyDescent="0.25">
      <c r="A239" t="s">
        <v>282</v>
      </c>
      <c r="B239" t="s">
        <v>5</v>
      </c>
      <c r="C239" t="s">
        <v>6</v>
      </c>
      <c r="D239">
        <v>0</v>
      </c>
      <c r="F239" t="s">
        <v>1</v>
      </c>
      <c r="G239" t="s">
        <v>2</v>
      </c>
      <c r="I239" s="1" t="s">
        <v>5</v>
      </c>
      <c r="J239" s="1" t="s">
        <v>6</v>
      </c>
      <c r="K239" s="1">
        <v>0</v>
      </c>
      <c r="L239" s="1"/>
      <c r="M239" s="1" t="b">
        <v>0</v>
      </c>
      <c r="N239" s="1"/>
      <c r="O239">
        <v>0</v>
      </c>
      <c r="P239">
        <v>1</v>
      </c>
      <c r="Q239">
        <v>4</v>
      </c>
      <c r="R239" s="1">
        <f t="shared" si="47"/>
        <v>0</v>
      </c>
      <c r="S239" s="1">
        <f t="shared" si="48"/>
        <v>0</v>
      </c>
      <c r="T239" s="1">
        <f t="shared" si="49"/>
        <v>1</v>
      </c>
      <c r="U239" s="1">
        <f t="shared" si="50"/>
        <v>1</v>
      </c>
      <c r="V239" s="1">
        <f t="shared" si="51"/>
        <v>4</v>
      </c>
      <c r="W239" s="1" t="str">
        <f t="shared" si="52"/>
        <v>BFC</v>
      </c>
      <c r="X239" t="s">
        <v>39</v>
      </c>
      <c r="Y239" t="s">
        <v>149</v>
      </c>
      <c r="Z239" t="s">
        <v>261</v>
      </c>
      <c r="AA239" t="s">
        <v>262</v>
      </c>
      <c r="AB239">
        <v>3</v>
      </c>
      <c r="AJ239">
        <f t="shared" si="53"/>
        <v>11</v>
      </c>
      <c r="AK239">
        <f t="shared" si="54"/>
        <v>11</v>
      </c>
      <c r="AL239">
        <f t="shared" si="55"/>
        <v>4</v>
      </c>
      <c r="AM239">
        <f t="shared" si="45"/>
        <v>4</v>
      </c>
      <c r="AN239">
        <f t="shared" si="56"/>
        <v>4</v>
      </c>
      <c r="AO239">
        <f t="shared" si="57"/>
        <v>4</v>
      </c>
      <c r="AP239">
        <f t="shared" si="58"/>
        <v>0</v>
      </c>
      <c r="AQ239">
        <f t="shared" si="46"/>
        <v>0</v>
      </c>
      <c r="AR239">
        <f t="shared" si="59"/>
        <v>0</v>
      </c>
    </row>
    <row r="240" spans="1:44" x14ac:dyDescent="0.25">
      <c r="A240" t="s">
        <v>283</v>
      </c>
      <c r="B240" t="s">
        <v>5</v>
      </c>
      <c r="C240" t="s">
        <v>6</v>
      </c>
      <c r="E240">
        <v>0</v>
      </c>
      <c r="F240" t="s">
        <v>1</v>
      </c>
      <c r="G240" t="s">
        <v>2</v>
      </c>
      <c r="I240" s="1" t="s">
        <v>5</v>
      </c>
      <c r="J240" s="1" t="s">
        <v>6</v>
      </c>
      <c r="K240" s="1"/>
      <c r="L240" s="1">
        <v>0</v>
      </c>
      <c r="M240" s="1" t="b">
        <v>0</v>
      </c>
      <c r="N240" s="1"/>
      <c r="O240">
        <v>0</v>
      </c>
      <c r="P240">
        <v>1</v>
      </c>
      <c r="Q240">
        <v>4</v>
      </c>
      <c r="R240" s="1">
        <f t="shared" si="47"/>
        <v>0</v>
      </c>
      <c r="S240" s="1">
        <f t="shared" si="48"/>
        <v>0</v>
      </c>
      <c r="T240" s="1">
        <f t="shared" si="49"/>
        <v>1</v>
      </c>
      <c r="U240" s="1">
        <f t="shared" si="50"/>
        <v>1</v>
      </c>
      <c r="V240" s="1">
        <f t="shared" si="51"/>
        <v>5</v>
      </c>
      <c r="W240" s="1" t="str">
        <f t="shared" si="52"/>
        <v>BFC</v>
      </c>
      <c r="X240" t="s">
        <v>39</v>
      </c>
      <c r="Y240" t="s">
        <v>149</v>
      </c>
      <c r="Z240" t="s">
        <v>261</v>
      </c>
      <c r="AA240" t="s">
        <v>262</v>
      </c>
      <c r="AB240">
        <v>4</v>
      </c>
      <c r="AJ240">
        <f t="shared" si="53"/>
        <v>101</v>
      </c>
      <c r="AK240">
        <f t="shared" si="54"/>
        <v>11</v>
      </c>
      <c r="AL240">
        <f t="shared" si="55"/>
        <v>5</v>
      </c>
      <c r="AM240">
        <f t="shared" si="45"/>
        <v>4</v>
      </c>
      <c r="AN240">
        <f t="shared" si="56"/>
        <v>5</v>
      </c>
      <c r="AO240">
        <f t="shared" si="57"/>
        <v>4</v>
      </c>
      <c r="AP240">
        <f t="shared" si="58"/>
        <v>0</v>
      </c>
      <c r="AQ240">
        <f t="shared" si="46"/>
        <v>0</v>
      </c>
      <c r="AR240">
        <f t="shared" si="59"/>
        <v>0</v>
      </c>
    </row>
    <row r="241" spans="1:44" x14ac:dyDescent="0.25">
      <c r="A241" t="s">
        <v>284</v>
      </c>
      <c r="B241" t="s">
        <v>5</v>
      </c>
      <c r="D241" t="s">
        <v>7</v>
      </c>
      <c r="E241">
        <v>0</v>
      </c>
      <c r="F241" t="s">
        <v>1</v>
      </c>
      <c r="H241" t="s">
        <v>3</v>
      </c>
      <c r="I241" s="1" t="s">
        <v>5</v>
      </c>
      <c r="J241" s="1"/>
      <c r="K241" s="1" t="s">
        <v>7</v>
      </c>
      <c r="L241" s="1">
        <v>0</v>
      </c>
      <c r="M241" s="1" t="b">
        <v>0</v>
      </c>
      <c r="N241" s="1"/>
      <c r="O241">
        <v>0</v>
      </c>
      <c r="P241">
        <v>1</v>
      </c>
      <c r="Q241">
        <v>5</v>
      </c>
      <c r="R241" s="1">
        <f t="shared" si="47"/>
        <v>0</v>
      </c>
      <c r="S241" s="1">
        <f t="shared" si="48"/>
        <v>0</v>
      </c>
      <c r="T241" s="1">
        <f t="shared" si="49"/>
        <v>1</v>
      </c>
      <c r="U241" s="1">
        <f t="shared" si="50"/>
        <v>1</v>
      </c>
      <c r="V241" s="1">
        <f t="shared" si="51"/>
        <v>6</v>
      </c>
      <c r="W241" s="1" t="str">
        <f t="shared" si="52"/>
        <v>BFC</v>
      </c>
      <c r="X241" t="s">
        <v>39</v>
      </c>
      <c r="Y241" t="s">
        <v>149</v>
      </c>
      <c r="Z241" t="s">
        <v>261</v>
      </c>
      <c r="AA241" t="s">
        <v>262</v>
      </c>
      <c r="AB241">
        <v>4</v>
      </c>
      <c r="AJ241">
        <f t="shared" si="53"/>
        <v>110</v>
      </c>
      <c r="AK241">
        <f t="shared" si="54"/>
        <v>101</v>
      </c>
      <c r="AL241">
        <f t="shared" si="55"/>
        <v>6</v>
      </c>
      <c r="AM241">
        <f t="shared" si="45"/>
        <v>5</v>
      </c>
      <c r="AN241">
        <f t="shared" si="56"/>
        <v>6</v>
      </c>
      <c r="AO241">
        <f t="shared" si="57"/>
        <v>5</v>
      </c>
      <c r="AP241">
        <f t="shared" si="58"/>
        <v>0</v>
      </c>
      <c r="AQ241">
        <f t="shared" si="46"/>
        <v>0</v>
      </c>
      <c r="AR241">
        <f t="shared" si="59"/>
        <v>0</v>
      </c>
    </row>
    <row r="242" spans="1:44" x14ac:dyDescent="0.25">
      <c r="A242" t="s">
        <v>285</v>
      </c>
      <c r="B242" t="s">
        <v>5</v>
      </c>
      <c r="C242" t="s">
        <v>6</v>
      </c>
      <c r="D242" t="s">
        <v>7</v>
      </c>
      <c r="E242">
        <v>0</v>
      </c>
      <c r="F242" t="s">
        <v>1</v>
      </c>
      <c r="G242" t="s">
        <v>2</v>
      </c>
      <c r="H242" t="s">
        <v>3</v>
      </c>
      <c r="I242" s="1" t="s">
        <v>5</v>
      </c>
      <c r="J242" s="1" t="s">
        <v>6</v>
      </c>
      <c r="K242" s="1" t="s">
        <v>7</v>
      </c>
      <c r="L242" s="1">
        <v>0</v>
      </c>
      <c r="M242" s="1" t="b">
        <v>0</v>
      </c>
      <c r="N242" s="1"/>
      <c r="O242">
        <v>0</v>
      </c>
      <c r="P242">
        <v>1</v>
      </c>
      <c r="Q242">
        <v>7</v>
      </c>
      <c r="R242" s="1">
        <f t="shared" si="47"/>
        <v>0</v>
      </c>
      <c r="S242" s="1">
        <f t="shared" si="48"/>
        <v>0</v>
      </c>
      <c r="T242" s="1">
        <f t="shared" si="49"/>
        <v>1</v>
      </c>
      <c r="U242" s="1">
        <f t="shared" si="50"/>
        <v>1</v>
      </c>
      <c r="V242" s="1">
        <f t="shared" si="51"/>
        <v>7</v>
      </c>
      <c r="W242" s="1" t="str">
        <f t="shared" si="52"/>
        <v>BFC</v>
      </c>
      <c r="X242" t="s">
        <v>39</v>
      </c>
      <c r="Y242" t="s">
        <v>149</v>
      </c>
      <c r="Z242" t="s">
        <v>261</v>
      </c>
      <c r="AA242" t="s">
        <v>262</v>
      </c>
      <c r="AB242">
        <v>4</v>
      </c>
      <c r="AJ242">
        <f t="shared" si="53"/>
        <v>111</v>
      </c>
      <c r="AK242">
        <f t="shared" si="54"/>
        <v>111</v>
      </c>
      <c r="AL242">
        <f t="shared" si="55"/>
        <v>7</v>
      </c>
      <c r="AM242">
        <f t="shared" si="45"/>
        <v>7</v>
      </c>
      <c r="AN242">
        <f t="shared" si="56"/>
        <v>7</v>
      </c>
      <c r="AO242">
        <f t="shared" si="57"/>
        <v>7</v>
      </c>
      <c r="AP242">
        <f t="shared" si="58"/>
        <v>0</v>
      </c>
      <c r="AQ242">
        <f t="shared" si="46"/>
        <v>0</v>
      </c>
      <c r="AR242">
        <f t="shared" si="59"/>
        <v>0</v>
      </c>
    </row>
    <row r="243" spans="1:44" x14ac:dyDescent="0.25">
      <c r="A243" t="s">
        <v>286</v>
      </c>
      <c r="B243" t="s">
        <v>5</v>
      </c>
      <c r="C243">
        <v>0</v>
      </c>
      <c r="F243" t="s">
        <v>1</v>
      </c>
      <c r="I243" s="1" t="s">
        <v>5</v>
      </c>
      <c r="J243" s="1">
        <v>0</v>
      </c>
      <c r="K243" s="1"/>
      <c r="L243" s="1"/>
      <c r="M243" s="1" t="b">
        <v>0</v>
      </c>
      <c r="N243" s="1"/>
      <c r="O243">
        <v>0</v>
      </c>
      <c r="P243">
        <v>2</v>
      </c>
      <c r="Q243">
        <v>1</v>
      </c>
      <c r="R243" s="1">
        <f t="shared" si="47"/>
        <v>0</v>
      </c>
      <c r="S243" s="1">
        <f t="shared" si="48"/>
        <v>1</v>
      </c>
      <c r="T243" s="1">
        <f t="shared" si="49"/>
        <v>1</v>
      </c>
      <c r="U243" s="1">
        <f t="shared" si="50"/>
        <v>2</v>
      </c>
      <c r="V243" s="1">
        <f t="shared" si="51"/>
        <v>1</v>
      </c>
      <c r="W243" s="1" t="str">
        <f t="shared" si="52"/>
        <v>BFC</v>
      </c>
      <c r="X243" t="s">
        <v>39</v>
      </c>
      <c r="Y243" t="s">
        <v>149</v>
      </c>
      <c r="Z243" t="s">
        <v>261</v>
      </c>
      <c r="AA243" t="s">
        <v>262</v>
      </c>
      <c r="AB243">
        <v>2</v>
      </c>
      <c r="AJ243">
        <f t="shared" si="53"/>
        <v>1</v>
      </c>
      <c r="AK243">
        <f t="shared" si="54"/>
        <v>1</v>
      </c>
      <c r="AL243">
        <f t="shared" si="55"/>
        <v>1</v>
      </c>
      <c r="AM243">
        <f t="shared" si="45"/>
        <v>1</v>
      </c>
      <c r="AN243">
        <f t="shared" si="56"/>
        <v>1</v>
      </c>
      <c r="AO243">
        <f t="shared" si="57"/>
        <v>1</v>
      </c>
      <c r="AP243">
        <f t="shared" si="58"/>
        <v>0</v>
      </c>
      <c r="AQ243">
        <f t="shared" si="46"/>
        <v>0</v>
      </c>
      <c r="AR243">
        <f t="shared" si="59"/>
        <v>0</v>
      </c>
    </row>
    <row r="244" spans="1:44" x14ac:dyDescent="0.25">
      <c r="A244" t="s">
        <v>287</v>
      </c>
      <c r="B244" t="s">
        <v>5</v>
      </c>
      <c r="D244">
        <v>0</v>
      </c>
      <c r="F244" t="s">
        <v>1</v>
      </c>
      <c r="I244" s="1" t="s">
        <v>5</v>
      </c>
      <c r="J244" s="1"/>
      <c r="K244" s="1">
        <v>0</v>
      </c>
      <c r="L244" s="1"/>
      <c r="M244" s="1" t="b">
        <v>0</v>
      </c>
      <c r="N244" s="1"/>
      <c r="O244">
        <v>0</v>
      </c>
      <c r="P244">
        <v>2</v>
      </c>
      <c r="Q244">
        <v>1</v>
      </c>
      <c r="R244" s="1">
        <f t="shared" si="47"/>
        <v>0</v>
      </c>
      <c r="S244" s="1">
        <f t="shared" si="48"/>
        <v>1</v>
      </c>
      <c r="T244" s="1">
        <f t="shared" si="49"/>
        <v>1</v>
      </c>
      <c r="U244" s="1">
        <f t="shared" si="50"/>
        <v>2</v>
      </c>
      <c r="V244" s="1">
        <f t="shared" si="51"/>
        <v>2</v>
      </c>
      <c r="W244" s="1" t="str">
        <f t="shared" si="52"/>
        <v>BFC</v>
      </c>
      <c r="X244" t="s">
        <v>39</v>
      </c>
      <c r="Y244" t="s">
        <v>149</v>
      </c>
      <c r="Z244" t="s">
        <v>261</v>
      </c>
      <c r="AA244" t="s">
        <v>262</v>
      </c>
      <c r="AB244">
        <v>3</v>
      </c>
      <c r="AJ244">
        <f t="shared" si="53"/>
        <v>10</v>
      </c>
      <c r="AK244">
        <f t="shared" si="54"/>
        <v>1</v>
      </c>
      <c r="AL244">
        <f t="shared" si="55"/>
        <v>2</v>
      </c>
      <c r="AM244">
        <f t="shared" si="45"/>
        <v>1</v>
      </c>
      <c r="AN244">
        <f t="shared" si="56"/>
        <v>2</v>
      </c>
      <c r="AO244">
        <f t="shared" si="57"/>
        <v>1</v>
      </c>
      <c r="AP244">
        <f t="shared" si="58"/>
        <v>0</v>
      </c>
      <c r="AQ244">
        <f t="shared" si="46"/>
        <v>0</v>
      </c>
      <c r="AR244">
        <f t="shared" si="59"/>
        <v>0</v>
      </c>
    </row>
    <row r="245" spans="1:44" x14ac:dyDescent="0.25">
      <c r="A245" t="s">
        <v>288</v>
      </c>
      <c r="B245" t="s">
        <v>5</v>
      </c>
      <c r="E245">
        <v>0</v>
      </c>
      <c r="F245" t="s">
        <v>1</v>
      </c>
      <c r="I245" s="1" t="s">
        <v>5</v>
      </c>
      <c r="J245" s="1"/>
      <c r="K245" s="1"/>
      <c r="L245" s="1">
        <v>0</v>
      </c>
      <c r="M245" s="1" t="b">
        <v>0</v>
      </c>
      <c r="N245" s="1"/>
      <c r="O245">
        <v>0</v>
      </c>
      <c r="P245">
        <v>2</v>
      </c>
      <c r="Q245">
        <v>1</v>
      </c>
      <c r="R245" s="1">
        <f t="shared" si="47"/>
        <v>0</v>
      </c>
      <c r="S245" s="1">
        <f t="shared" si="48"/>
        <v>1</v>
      </c>
      <c r="T245" s="1">
        <f t="shared" si="49"/>
        <v>1</v>
      </c>
      <c r="U245" s="1">
        <f t="shared" si="50"/>
        <v>2</v>
      </c>
      <c r="V245" s="1">
        <f t="shared" si="51"/>
        <v>3</v>
      </c>
      <c r="W245" s="1" t="str">
        <f t="shared" si="52"/>
        <v>BFC</v>
      </c>
      <c r="X245" t="s">
        <v>39</v>
      </c>
      <c r="Y245" t="s">
        <v>149</v>
      </c>
      <c r="Z245" t="s">
        <v>261</v>
      </c>
      <c r="AA245" t="s">
        <v>262</v>
      </c>
      <c r="AB245">
        <v>4</v>
      </c>
      <c r="AJ245">
        <f t="shared" si="53"/>
        <v>100</v>
      </c>
      <c r="AK245">
        <f t="shared" si="54"/>
        <v>1</v>
      </c>
      <c r="AL245">
        <f t="shared" si="55"/>
        <v>3</v>
      </c>
      <c r="AM245">
        <f t="shared" si="45"/>
        <v>1</v>
      </c>
      <c r="AN245">
        <f t="shared" si="56"/>
        <v>3</v>
      </c>
      <c r="AO245">
        <f t="shared" si="57"/>
        <v>1</v>
      </c>
      <c r="AP245">
        <f t="shared" si="58"/>
        <v>0</v>
      </c>
      <c r="AQ245">
        <f t="shared" si="46"/>
        <v>0</v>
      </c>
      <c r="AR245">
        <f t="shared" si="59"/>
        <v>0</v>
      </c>
    </row>
    <row r="246" spans="1:44" x14ac:dyDescent="0.25">
      <c r="A246" t="s">
        <v>289</v>
      </c>
      <c r="B246" t="s">
        <v>5</v>
      </c>
      <c r="C246" t="s">
        <v>6</v>
      </c>
      <c r="D246">
        <v>0</v>
      </c>
      <c r="F246" t="s">
        <v>1</v>
      </c>
      <c r="G246" t="s">
        <v>2</v>
      </c>
      <c r="I246" s="1" t="s">
        <v>5</v>
      </c>
      <c r="J246" s="1" t="s">
        <v>6</v>
      </c>
      <c r="K246" s="1">
        <v>0</v>
      </c>
      <c r="L246" s="1"/>
      <c r="M246" s="1" t="b">
        <v>0</v>
      </c>
      <c r="N246" s="1"/>
      <c r="O246">
        <v>0</v>
      </c>
      <c r="P246">
        <v>2</v>
      </c>
      <c r="Q246">
        <v>4</v>
      </c>
      <c r="R246" s="1">
        <f t="shared" si="47"/>
        <v>0</v>
      </c>
      <c r="S246" s="1">
        <f t="shared" si="48"/>
        <v>1</v>
      </c>
      <c r="T246" s="1">
        <f t="shared" si="49"/>
        <v>1</v>
      </c>
      <c r="U246" s="1">
        <f t="shared" si="50"/>
        <v>2</v>
      </c>
      <c r="V246" s="1">
        <f t="shared" si="51"/>
        <v>4</v>
      </c>
      <c r="W246" s="1" t="str">
        <f t="shared" si="52"/>
        <v>BFC</v>
      </c>
      <c r="X246" t="s">
        <v>39</v>
      </c>
      <c r="Y246" t="s">
        <v>149</v>
      </c>
      <c r="Z246" t="s">
        <v>261</v>
      </c>
      <c r="AA246" t="s">
        <v>262</v>
      </c>
      <c r="AB246">
        <v>3</v>
      </c>
      <c r="AJ246">
        <f t="shared" si="53"/>
        <v>11</v>
      </c>
      <c r="AK246">
        <f t="shared" si="54"/>
        <v>11</v>
      </c>
      <c r="AL246">
        <f t="shared" si="55"/>
        <v>4</v>
      </c>
      <c r="AM246">
        <f t="shared" si="45"/>
        <v>4</v>
      </c>
      <c r="AN246">
        <f t="shared" si="56"/>
        <v>4</v>
      </c>
      <c r="AO246">
        <f t="shared" si="57"/>
        <v>4</v>
      </c>
      <c r="AP246">
        <f t="shared" si="58"/>
        <v>0</v>
      </c>
      <c r="AQ246">
        <f t="shared" si="46"/>
        <v>0</v>
      </c>
      <c r="AR246">
        <f t="shared" si="59"/>
        <v>0</v>
      </c>
    </row>
    <row r="247" spans="1:44" x14ac:dyDescent="0.25">
      <c r="A247" t="s">
        <v>290</v>
      </c>
      <c r="B247" t="s">
        <v>5</v>
      </c>
      <c r="C247" t="s">
        <v>6</v>
      </c>
      <c r="E247">
        <v>0</v>
      </c>
      <c r="F247" t="s">
        <v>1</v>
      </c>
      <c r="G247" t="s">
        <v>2</v>
      </c>
      <c r="I247" s="1" t="s">
        <v>5</v>
      </c>
      <c r="J247" s="1" t="s">
        <v>6</v>
      </c>
      <c r="K247" s="1"/>
      <c r="L247" s="1">
        <v>0</v>
      </c>
      <c r="M247" s="1" t="b">
        <v>0</v>
      </c>
      <c r="N247" s="1"/>
      <c r="O247">
        <v>0</v>
      </c>
      <c r="P247">
        <v>2</v>
      </c>
      <c r="Q247">
        <v>4</v>
      </c>
      <c r="R247" s="1">
        <f t="shared" si="47"/>
        <v>0</v>
      </c>
      <c r="S247" s="1">
        <f t="shared" si="48"/>
        <v>1</v>
      </c>
      <c r="T247" s="1">
        <f t="shared" si="49"/>
        <v>1</v>
      </c>
      <c r="U247" s="1">
        <f t="shared" si="50"/>
        <v>2</v>
      </c>
      <c r="V247" s="1">
        <f t="shared" si="51"/>
        <v>5</v>
      </c>
      <c r="W247" s="1" t="str">
        <f t="shared" si="52"/>
        <v>BFC</v>
      </c>
      <c r="X247" t="s">
        <v>39</v>
      </c>
      <c r="Y247" t="s">
        <v>149</v>
      </c>
      <c r="Z247" t="s">
        <v>261</v>
      </c>
      <c r="AA247" t="s">
        <v>262</v>
      </c>
      <c r="AB247">
        <v>4</v>
      </c>
      <c r="AJ247">
        <f t="shared" si="53"/>
        <v>101</v>
      </c>
      <c r="AK247">
        <f t="shared" si="54"/>
        <v>11</v>
      </c>
      <c r="AL247">
        <f t="shared" si="55"/>
        <v>5</v>
      </c>
      <c r="AM247">
        <f t="shared" si="45"/>
        <v>4</v>
      </c>
      <c r="AN247">
        <f t="shared" si="56"/>
        <v>5</v>
      </c>
      <c r="AO247">
        <f t="shared" si="57"/>
        <v>4</v>
      </c>
      <c r="AP247">
        <f t="shared" si="58"/>
        <v>0</v>
      </c>
      <c r="AQ247">
        <f t="shared" si="46"/>
        <v>0</v>
      </c>
      <c r="AR247">
        <f t="shared" si="59"/>
        <v>0</v>
      </c>
    </row>
    <row r="248" spans="1:44" x14ac:dyDescent="0.25">
      <c r="A248" t="s">
        <v>291</v>
      </c>
      <c r="B248" t="s">
        <v>5</v>
      </c>
      <c r="D248" t="s">
        <v>7</v>
      </c>
      <c r="E248">
        <v>0</v>
      </c>
      <c r="F248" t="s">
        <v>1</v>
      </c>
      <c r="H248" t="s">
        <v>3</v>
      </c>
      <c r="I248" s="1" t="s">
        <v>5</v>
      </c>
      <c r="J248" s="1"/>
      <c r="K248" s="1" t="s">
        <v>7</v>
      </c>
      <c r="L248" s="1">
        <v>0</v>
      </c>
      <c r="M248" s="1" t="b">
        <v>0</v>
      </c>
      <c r="N248" s="1"/>
      <c r="O248">
        <v>0</v>
      </c>
      <c r="P248">
        <v>2</v>
      </c>
      <c r="Q248">
        <v>5</v>
      </c>
      <c r="R248" s="1">
        <f t="shared" si="47"/>
        <v>0</v>
      </c>
      <c r="S248" s="1">
        <f t="shared" si="48"/>
        <v>1</v>
      </c>
      <c r="T248" s="1">
        <f t="shared" si="49"/>
        <v>1</v>
      </c>
      <c r="U248" s="1">
        <f t="shared" si="50"/>
        <v>2</v>
      </c>
      <c r="V248" s="1">
        <f t="shared" si="51"/>
        <v>6</v>
      </c>
      <c r="W248" s="1" t="str">
        <f t="shared" si="52"/>
        <v>BFC</v>
      </c>
      <c r="X248" t="s">
        <v>39</v>
      </c>
      <c r="Y248" t="s">
        <v>149</v>
      </c>
      <c r="Z248" t="s">
        <v>261</v>
      </c>
      <c r="AA248" t="s">
        <v>262</v>
      </c>
      <c r="AB248">
        <v>4</v>
      </c>
      <c r="AJ248">
        <f t="shared" si="53"/>
        <v>110</v>
      </c>
      <c r="AK248">
        <f t="shared" si="54"/>
        <v>101</v>
      </c>
      <c r="AL248">
        <f t="shared" si="55"/>
        <v>6</v>
      </c>
      <c r="AM248">
        <f t="shared" si="45"/>
        <v>5</v>
      </c>
      <c r="AN248">
        <f t="shared" si="56"/>
        <v>6</v>
      </c>
      <c r="AO248">
        <f t="shared" si="57"/>
        <v>5</v>
      </c>
      <c r="AP248">
        <f t="shared" si="58"/>
        <v>0</v>
      </c>
      <c r="AQ248">
        <f t="shared" si="46"/>
        <v>0</v>
      </c>
      <c r="AR248">
        <f t="shared" si="59"/>
        <v>0</v>
      </c>
    </row>
    <row r="249" spans="1:44" x14ac:dyDescent="0.25">
      <c r="A249" t="s">
        <v>292</v>
      </c>
      <c r="B249" t="s">
        <v>5</v>
      </c>
      <c r="C249" t="s">
        <v>6</v>
      </c>
      <c r="D249" t="s">
        <v>7</v>
      </c>
      <c r="E249">
        <v>0</v>
      </c>
      <c r="F249" t="s">
        <v>1</v>
      </c>
      <c r="G249" t="s">
        <v>2</v>
      </c>
      <c r="H249" t="s">
        <v>3</v>
      </c>
      <c r="I249" s="1" t="s">
        <v>5</v>
      </c>
      <c r="J249" s="1" t="s">
        <v>6</v>
      </c>
      <c r="K249" s="1" t="s">
        <v>7</v>
      </c>
      <c r="L249" s="1">
        <v>0</v>
      </c>
      <c r="M249" s="1" t="b">
        <v>0</v>
      </c>
      <c r="N249" s="1"/>
      <c r="O249">
        <v>0</v>
      </c>
      <c r="P249">
        <v>2</v>
      </c>
      <c r="Q249">
        <v>7</v>
      </c>
      <c r="R249" s="1">
        <f t="shared" si="47"/>
        <v>0</v>
      </c>
      <c r="S249" s="1">
        <f t="shared" si="48"/>
        <v>1</v>
      </c>
      <c r="T249" s="1">
        <f t="shared" si="49"/>
        <v>1</v>
      </c>
      <c r="U249" s="1">
        <f t="shared" si="50"/>
        <v>2</v>
      </c>
      <c r="V249" s="1">
        <f t="shared" si="51"/>
        <v>7</v>
      </c>
      <c r="W249" s="1" t="str">
        <f t="shared" si="52"/>
        <v>BFC</v>
      </c>
      <c r="X249" t="s">
        <v>39</v>
      </c>
      <c r="Y249" t="s">
        <v>149</v>
      </c>
      <c r="Z249" t="s">
        <v>261</v>
      </c>
      <c r="AA249" t="s">
        <v>262</v>
      </c>
      <c r="AB249">
        <v>4</v>
      </c>
      <c r="AJ249">
        <f t="shared" si="53"/>
        <v>111</v>
      </c>
      <c r="AK249">
        <f t="shared" si="54"/>
        <v>111</v>
      </c>
      <c r="AL249">
        <f t="shared" si="55"/>
        <v>7</v>
      </c>
      <c r="AM249">
        <f t="shared" si="45"/>
        <v>7</v>
      </c>
      <c r="AN249">
        <f t="shared" si="56"/>
        <v>7</v>
      </c>
      <c r="AO249">
        <f t="shared" si="57"/>
        <v>7</v>
      </c>
      <c r="AP249">
        <f t="shared" si="58"/>
        <v>0</v>
      </c>
      <c r="AQ249">
        <f t="shared" si="46"/>
        <v>0</v>
      </c>
      <c r="AR249">
        <f t="shared" si="59"/>
        <v>0</v>
      </c>
    </row>
    <row r="250" spans="1:44" x14ac:dyDescent="0.25">
      <c r="A250" t="s">
        <v>293</v>
      </c>
      <c r="B250" t="s">
        <v>5</v>
      </c>
      <c r="C250">
        <v>0</v>
      </c>
      <c r="F250" t="s">
        <v>1</v>
      </c>
      <c r="I250" s="1" t="s">
        <v>5</v>
      </c>
      <c r="J250" s="1">
        <v>0</v>
      </c>
      <c r="K250" s="1"/>
      <c r="L250" s="1"/>
      <c r="M250" s="1" t="b">
        <v>0</v>
      </c>
      <c r="N250" s="1"/>
      <c r="O250">
        <v>0</v>
      </c>
      <c r="P250">
        <v>3</v>
      </c>
      <c r="Q250">
        <v>1</v>
      </c>
      <c r="R250" s="1">
        <f t="shared" si="47"/>
        <v>0</v>
      </c>
      <c r="S250" s="1">
        <f t="shared" si="48"/>
        <v>2</v>
      </c>
      <c r="T250" s="1">
        <f t="shared" si="49"/>
        <v>1</v>
      </c>
      <c r="U250" s="1">
        <f t="shared" si="50"/>
        <v>3</v>
      </c>
      <c r="V250" s="1">
        <f t="shared" si="51"/>
        <v>1</v>
      </c>
      <c r="W250" s="1" t="str">
        <f t="shared" si="52"/>
        <v>BFC</v>
      </c>
      <c r="X250" t="s">
        <v>39</v>
      </c>
      <c r="Y250" t="s">
        <v>149</v>
      </c>
      <c r="Z250" t="s">
        <v>261</v>
      </c>
      <c r="AA250" t="s">
        <v>262</v>
      </c>
      <c r="AB250">
        <v>2</v>
      </c>
      <c r="AJ250">
        <f t="shared" si="53"/>
        <v>1</v>
      </c>
      <c r="AK250">
        <f t="shared" si="54"/>
        <v>1</v>
      </c>
      <c r="AL250">
        <f t="shared" si="55"/>
        <v>1</v>
      </c>
      <c r="AM250">
        <f t="shared" si="45"/>
        <v>1</v>
      </c>
      <c r="AN250">
        <f t="shared" si="56"/>
        <v>1</v>
      </c>
      <c r="AO250">
        <f t="shared" si="57"/>
        <v>1</v>
      </c>
      <c r="AP250">
        <f t="shared" si="58"/>
        <v>0</v>
      </c>
      <c r="AQ250">
        <f t="shared" si="46"/>
        <v>0</v>
      </c>
      <c r="AR250">
        <f t="shared" si="59"/>
        <v>0</v>
      </c>
    </row>
    <row r="251" spans="1:44" x14ac:dyDescent="0.25">
      <c r="A251" t="s">
        <v>294</v>
      </c>
      <c r="B251" t="s">
        <v>5</v>
      </c>
      <c r="D251">
        <v>0</v>
      </c>
      <c r="F251" t="s">
        <v>1</v>
      </c>
      <c r="I251" s="1" t="s">
        <v>5</v>
      </c>
      <c r="J251" s="1"/>
      <c r="K251" s="1">
        <v>0</v>
      </c>
      <c r="L251" s="1"/>
      <c r="M251" s="1" t="b">
        <v>0</v>
      </c>
      <c r="N251" s="1"/>
      <c r="O251">
        <v>0</v>
      </c>
      <c r="P251">
        <v>3</v>
      </c>
      <c r="Q251">
        <v>1</v>
      </c>
      <c r="R251" s="1">
        <f t="shared" si="47"/>
        <v>0</v>
      </c>
      <c r="S251" s="1">
        <f t="shared" si="48"/>
        <v>2</v>
      </c>
      <c r="T251" s="1">
        <f t="shared" si="49"/>
        <v>1</v>
      </c>
      <c r="U251" s="1">
        <f t="shared" si="50"/>
        <v>3</v>
      </c>
      <c r="V251" s="1">
        <f t="shared" si="51"/>
        <v>2</v>
      </c>
      <c r="W251" s="1" t="str">
        <f t="shared" si="52"/>
        <v>BFC</v>
      </c>
      <c r="X251" t="s">
        <v>39</v>
      </c>
      <c r="Y251" t="s">
        <v>149</v>
      </c>
      <c r="Z251" t="s">
        <v>261</v>
      </c>
      <c r="AA251" t="s">
        <v>262</v>
      </c>
      <c r="AB251">
        <v>3</v>
      </c>
      <c r="AJ251">
        <f t="shared" si="53"/>
        <v>10</v>
      </c>
      <c r="AK251">
        <f t="shared" si="54"/>
        <v>1</v>
      </c>
      <c r="AL251">
        <f t="shared" si="55"/>
        <v>2</v>
      </c>
      <c r="AM251">
        <f t="shared" si="45"/>
        <v>1</v>
      </c>
      <c r="AN251">
        <f t="shared" si="56"/>
        <v>2</v>
      </c>
      <c r="AO251">
        <f t="shared" si="57"/>
        <v>1</v>
      </c>
      <c r="AP251">
        <f t="shared" si="58"/>
        <v>0</v>
      </c>
      <c r="AQ251">
        <f t="shared" si="46"/>
        <v>0</v>
      </c>
      <c r="AR251">
        <f t="shared" si="59"/>
        <v>0</v>
      </c>
    </row>
    <row r="252" spans="1:44" x14ac:dyDescent="0.25">
      <c r="A252" t="s">
        <v>295</v>
      </c>
      <c r="B252" t="s">
        <v>5</v>
      </c>
      <c r="E252">
        <v>0</v>
      </c>
      <c r="F252" t="s">
        <v>1</v>
      </c>
      <c r="I252" s="1" t="s">
        <v>5</v>
      </c>
      <c r="J252" s="1"/>
      <c r="K252" s="1"/>
      <c r="L252" s="1">
        <v>0</v>
      </c>
      <c r="M252" s="1" t="b">
        <v>0</v>
      </c>
      <c r="N252" s="1"/>
      <c r="O252">
        <v>0</v>
      </c>
      <c r="P252">
        <v>3</v>
      </c>
      <c r="Q252">
        <v>1</v>
      </c>
      <c r="R252" s="1">
        <f t="shared" si="47"/>
        <v>0</v>
      </c>
      <c r="S252" s="1">
        <f t="shared" si="48"/>
        <v>2</v>
      </c>
      <c r="T252" s="1">
        <f t="shared" si="49"/>
        <v>1</v>
      </c>
      <c r="U252" s="1">
        <f t="shared" si="50"/>
        <v>3</v>
      </c>
      <c r="V252" s="1">
        <f t="shared" si="51"/>
        <v>3</v>
      </c>
      <c r="W252" s="1" t="str">
        <f t="shared" si="52"/>
        <v>BFC</v>
      </c>
      <c r="X252" t="s">
        <v>39</v>
      </c>
      <c r="Y252" t="s">
        <v>149</v>
      </c>
      <c r="Z252" t="s">
        <v>261</v>
      </c>
      <c r="AA252" t="s">
        <v>262</v>
      </c>
      <c r="AB252">
        <v>4</v>
      </c>
      <c r="AJ252">
        <f t="shared" si="53"/>
        <v>100</v>
      </c>
      <c r="AK252">
        <f t="shared" si="54"/>
        <v>1</v>
      </c>
      <c r="AL252">
        <f t="shared" si="55"/>
        <v>3</v>
      </c>
      <c r="AM252">
        <f t="shared" si="45"/>
        <v>1</v>
      </c>
      <c r="AN252">
        <f t="shared" si="56"/>
        <v>3</v>
      </c>
      <c r="AO252">
        <f t="shared" si="57"/>
        <v>1</v>
      </c>
      <c r="AP252">
        <f t="shared" si="58"/>
        <v>0</v>
      </c>
      <c r="AQ252">
        <f t="shared" si="46"/>
        <v>0</v>
      </c>
      <c r="AR252">
        <f t="shared" si="59"/>
        <v>0</v>
      </c>
    </row>
    <row r="253" spans="1:44" x14ac:dyDescent="0.25">
      <c r="A253" t="s">
        <v>296</v>
      </c>
      <c r="B253" t="s">
        <v>5</v>
      </c>
      <c r="C253" t="s">
        <v>6</v>
      </c>
      <c r="D253">
        <v>0</v>
      </c>
      <c r="F253" t="s">
        <v>1</v>
      </c>
      <c r="G253" t="s">
        <v>2</v>
      </c>
      <c r="I253" s="1" t="s">
        <v>5</v>
      </c>
      <c r="J253" s="1" t="s">
        <v>6</v>
      </c>
      <c r="K253" s="1">
        <v>0</v>
      </c>
      <c r="L253" s="1"/>
      <c r="M253" s="1" t="b">
        <v>0</v>
      </c>
      <c r="N253" s="1"/>
      <c r="O253">
        <v>0</v>
      </c>
      <c r="P253">
        <v>3</v>
      </c>
      <c r="Q253">
        <v>4</v>
      </c>
      <c r="R253" s="1">
        <f t="shared" si="47"/>
        <v>0</v>
      </c>
      <c r="S253" s="1">
        <f t="shared" si="48"/>
        <v>2</v>
      </c>
      <c r="T253" s="1">
        <f t="shared" si="49"/>
        <v>1</v>
      </c>
      <c r="U253" s="1">
        <f t="shared" si="50"/>
        <v>3</v>
      </c>
      <c r="V253" s="1">
        <f t="shared" si="51"/>
        <v>4</v>
      </c>
      <c r="W253" s="1" t="str">
        <f t="shared" si="52"/>
        <v>BFC</v>
      </c>
      <c r="X253" t="s">
        <v>39</v>
      </c>
      <c r="Y253" t="s">
        <v>149</v>
      </c>
      <c r="Z253" t="s">
        <v>261</v>
      </c>
      <c r="AA253" t="s">
        <v>262</v>
      </c>
      <c r="AB253">
        <v>3</v>
      </c>
      <c r="AJ253">
        <f t="shared" si="53"/>
        <v>11</v>
      </c>
      <c r="AK253">
        <f t="shared" si="54"/>
        <v>11</v>
      </c>
      <c r="AL253">
        <f t="shared" si="55"/>
        <v>4</v>
      </c>
      <c r="AM253">
        <f t="shared" si="45"/>
        <v>4</v>
      </c>
      <c r="AN253">
        <f t="shared" si="56"/>
        <v>4</v>
      </c>
      <c r="AO253">
        <f t="shared" si="57"/>
        <v>4</v>
      </c>
      <c r="AP253">
        <f t="shared" si="58"/>
        <v>0</v>
      </c>
      <c r="AQ253">
        <f t="shared" si="46"/>
        <v>0</v>
      </c>
      <c r="AR253">
        <f t="shared" si="59"/>
        <v>0</v>
      </c>
    </row>
    <row r="254" spans="1:44" x14ac:dyDescent="0.25">
      <c r="A254" t="s">
        <v>297</v>
      </c>
      <c r="B254" t="s">
        <v>5</v>
      </c>
      <c r="C254" t="s">
        <v>6</v>
      </c>
      <c r="E254">
        <v>0</v>
      </c>
      <c r="F254" t="s">
        <v>1</v>
      </c>
      <c r="G254" t="s">
        <v>2</v>
      </c>
      <c r="I254" s="1" t="s">
        <v>5</v>
      </c>
      <c r="J254" s="1" t="s">
        <v>6</v>
      </c>
      <c r="K254" s="1"/>
      <c r="L254" s="1">
        <v>0</v>
      </c>
      <c r="M254" s="1" t="b">
        <v>0</v>
      </c>
      <c r="N254" s="1"/>
      <c r="O254">
        <v>0</v>
      </c>
      <c r="P254">
        <v>3</v>
      </c>
      <c r="Q254">
        <v>4</v>
      </c>
      <c r="R254" s="1">
        <f t="shared" si="47"/>
        <v>0</v>
      </c>
      <c r="S254" s="1">
        <f t="shared" si="48"/>
        <v>2</v>
      </c>
      <c r="T254" s="1">
        <f t="shared" si="49"/>
        <v>1</v>
      </c>
      <c r="U254" s="1">
        <f t="shared" si="50"/>
        <v>3</v>
      </c>
      <c r="V254" s="1">
        <f t="shared" si="51"/>
        <v>5</v>
      </c>
      <c r="W254" s="1" t="str">
        <f t="shared" si="52"/>
        <v>BFC</v>
      </c>
      <c r="X254" t="s">
        <v>39</v>
      </c>
      <c r="Y254" t="s">
        <v>149</v>
      </c>
      <c r="Z254" t="s">
        <v>261</v>
      </c>
      <c r="AA254" t="s">
        <v>262</v>
      </c>
      <c r="AB254">
        <v>4</v>
      </c>
      <c r="AJ254">
        <f t="shared" si="53"/>
        <v>101</v>
      </c>
      <c r="AK254">
        <f t="shared" si="54"/>
        <v>11</v>
      </c>
      <c r="AL254">
        <f t="shared" si="55"/>
        <v>5</v>
      </c>
      <c r="AM254">
        <f t="shared" si="45"/>
        <v>4</v>
      </c>
      <c r="AN254">
        <f t="shared" si="56"/>
        <v>5</v>
      </c>
      <c r="AO254">
        <f t="shared" si="57"/>
        <v>4</v>
      </c>
      <c r="AP254">
        <f t="shared" si="58"/>
        <v>0</v>
      </c>
      <c r="AQ254">
        <f t="shared" si="46"/>
        <v>0</v>
      </c>
      <c r="AR254">
        <f t="shared" si="59"/>
        <v>0</v>
      </c>
    </row>
    <row r="255" spans="1:44" x14ac:dyDescent="0.25">
      <c r="A255" t="s">
        <v>298</v>
      </c>
      <c r="B255" t="s">
        <v>5</v>
      </c>
      <c r="D255" t="s">
        <v>6</v>
      </c>
      <c r="E255">
        <v>0</v>
      </c>
      <c r="F255" t="s">
        <v>1</v>
      </c>
      <c r="G255" t="s">
        <v>3</v>
      </c>
      <c r="I255" s="1" t="s">
        <v>5</v>
      </c>
      <c r="J255" s="1"/>
      <c r="K255" s="1" t="s">
        <v>6</v>
      </c>
      <c r="L255" s="1">
        <v>0</v>
      </c>
      <c r="M255" s="1" t="b">
        <v>0</v>
      </c>
      <c r="N255" s="1"/>
      <c r="O255">
        <v>0</v>
      </c>
      <c r="P255">
        <v>3</v>
      </c>
      <c r="Q255">
        <v>4</v>
      </c>
      <c r="R255" s="1">
        <f t="shared" si="47"/>
        <v>0</v>
      </c>
      <c r="S255" s="1">
        <f t="shared" si="48"/>
        <v>2</v>
      </c>
      <c r="T255" s="1">
        <f t="shared" si="49"/>
        <v>1</v>
      </c>
      <c r="U255" s="1">
        <f t="shared" si="50"/>
        <v>3</v>
      </c>
      <c r="V255" s="1">
        <f t="shared" si="51"/>
        <v>6</v>
      </c>
      <c r="W255" s="1" t="str">
        <f t="shared" si="52"/>
        <v>BFC</v>
      </c>
      <c r="X255" t="s">
        <v>39</v>
      </c>
      <c r="Y255" t="s">
        <v>149</v>
      </c>
      <c r="Z255" t="s">
        <v>261</v>
      </c>
      <c r="AA255" t="s">
        <v>262</v>
      </c>
      <c r="AB255">
        <v>4</v>
      </c>
      <c r="AJ255">
        <f t="shared" si="53"/>
        <v>110</v>
      </c>
      <c r="AK255">
        <f t="shared" si="54"/>
        <v>11</v>
      </c>
      <c r="AL255">
        <f t="shared" si="55"/>
        <v>6</v>
      </c>
      <c r="AM255">
        <f t="shared" si="45"/>
        <v>4</v>
      </c>
      <c r="AN255">
        <f t="shared" si="56"/>
        <v>6</v>
      </c>
      <c r="AO255">
        <f t="shared" si="57"/>
        <v>4</v>
      </c>
      <c r="AP255">
        <f t="shared" si="58"/>
        <v>0</v>
      </c>
      <c r="AQ255">
        <f t="shared" si="46"/>
        <v>0</v>
      </c>
      <c r="AR255">
        <f t="shared" si="59"/>
        <v>0</v>
      </c>
    </row>
    <row r="256" spans="1:44" x14ac:dyDescent="0.25">
      <c r="A256" t="s">
        <v>299</v>
      </c>
      <c r="B256" t="s">
        <v>5</v>
      </c>
      <c r="C256" t="s">
        <v>6</v>
      </c>
      <c r="D256" t="s">
        <v>7</v>
      </c>
      <c r="E256">
        <v>0</v>
      </c>
      <c r="F256" t="s">
        <v>1</v>
      </c>
      <c r="G256" t="s">
        <v>2</v>
      </c>
      <c r="H256" t="s">
        <v>3</v>
      </c>
      <c r="I256" s="1" t="s">
        <v>5</v>
      </c>
      <c r="J256" s="1" t="s">
        <v>6</v>
      </c>
      <c r="K256" s="1" t="s">
        <v>7</v>
      </c>
      <c r="L256" s="1">
        <v>0</v>
      </c>
      <c r="M256" s="1" t="b">
        <v>0</v>
      </c>
      <c r="N256" s="1"/>
      <c r="O256">
        <v>0</v>
      </c>
      <c r="P256">
        <v>3</v>
      </c>
      <c r="Q256">
        <v>7</v>
      </c>
      <c r="R256" s="1">
        <f t="shared" si="47"/>
        <v>0</v>
      </c>
      <c r="S256" s="1">
        <f t="shared" si="48"/>
        <v>2</v>
      </c>
      <c r="T256" s="1">
        <f t="shared" si="49"/>
        <v>1</v>
      </c>
      <c r="U256" s="1">
        <f t="shared" si="50"/>
        <v>3</v>
      </c>
      <c r="V256" s="1">
        <f t="shared" si="51"/>
        <v>7</v>
      </c>
      <c r="W256" s="1" t="str">
        <f t="shared" si="52"/>
        <v>BFC</v>
      </c>
      <c r="X256" t="s">
        <v>39</v>
      </c>
      <c r="Y256" t="s">
        <v>149</v>
      </c>
      <c r="Z256" t="s">
        <v>261</v>
      </c>
      <c r="AA256" t="s">
        <v>262</v>
      </c>
      <c r="AB256">
        <v>4</v>
      </c>
      <c r="AJ256">
        <f t="shared" si="53"/>
        <v>111</v>
      </c>
      <c r="AK256">
        <f t="shared" si="54"/>
        <v>111</v>
      </c>
      <c r="AL256">
        <f t="shared" si="55"/>
        <v>7</v>
      </c>
      <c r="AM256">
        <f t="shared" si="45"/>
        <v>7</v>
      </c>
      <c r="AN256">
        <f t="shared" si="56"/>
        <v>7</v>
      </c>
      <c r="AO256">
        <f t="shared" si="57"/>
        <v>7</v>
      </c>
      <c r="AP256">
        <f t="shared" si="58"/>
        <v>0</v>
      </c>
      <c r="AQ256">
        <f t="shared" si="46"/>
        <v>0</v>
      </c>
      <c r="AR256">
        <f t="shared" si="59"/>
        <v>0</v>
      </c>
    </row>
    <row r="257" spans="1:44" x14ac:dyDescent="0.25">
      <c r="A257" t="s">
        <v>300</v>
      </c>
      <c r="B257">
        <v>0</v>
      </c>
      <c r="I257" s="1">
        <v>0</v>
      </c>
      <c r="J257" s="1"/>
      <c r="K257" s="1"/>
      <c r="L257" s="1"/>
      <c r="M257" s="1" t="b">
        <v>0</v>
      </c>
      <c r="N257" s="1"/>
      <c r="O257">
        <v>0</v>
      </c>
      <c r="P257">
        <v>1</v>
      </c>
      <c r="Q257">
        <v>0</v>
      </c>
      <c r="R257" s="1">
        <f t="shared" si="47"/>
        <v>0</v>
      </c>
      <c r="S257" s="1">
        <f t="shared" si="48"/>
        <v>0</v>
      </c>
      <c r="T257" s="1">
        <f t="shared" si="49"/>
        <v>1</v>
      </c>
      <c r="U257" s="1">
        <f t="shared" si="50"/>
        <v>1</v>
      </c>
      <c r="V257" s="1">
        <f t="shared" si="51"/>
        <v>0</v>
      </c>
      <c r="W257" s="1" t="str">
        <f t="shared" si="52"/>
        <v>BGO</v>
      </c>
      <c r="X257" t="s">
        <v>39</v>
      </c>
      <c r="Y257" t="s">
        <v>149</v>
      </c>
      <c r="Z257" t="s">
        <v>261</v>
      </c>
      <c r="AA257" t="s">
        <v>262</v>
      </c>
      <c r="AB257">
        <v>1</v>
      </c>
      <c r="AJ257">
        <f t="shared" si="53"/>
        <v>0</v>
      </c>
      <c r="AK257">
        <f t="shared" si="54"/>
        <v>0</v>
      </c>
      <c r="AL257">
        <f t="shared" si="55"/>
        <v>0</v>
      </c>
      <c r="AM257">
        <f t="shared" si="45"/>
        <v>0</v>
      </c>
      <c r="AN257">
        <f t="shared" si="56"/>
        <v>0</v>
      </c>
      <c r="AO257">
        <f t="shared" si="57"/>
        <v>0</v>
      </c>
      <c r="AP257">
        <f t="shared" si="58"/>
        <v>0</v>
      </c>
      <c r="AQ257">
        <f t="shared" si="46"/>
        <v>0</v>
      </c>
      <c r="AR257">
        <f t="shared" si="59"/>
        <v>0</v>
      </c>
    </row>
    <row r="258" spans="1:44" x14ac:dyDescent="0.25">
      <c r="A258" t="s">
        <v>301</v>
      </c>
      <c r="B258">
        <v>0</v>
      </c>
      <c r="I258" s="1">
        <v>0</v>
      </c>
      <c r="J258" s="1"/>
      <c r="K258" s="1"/>
      <c r="L258" s="1"/>
      <c r="M258" s="1" t="b">
        <v>0</v>
      </c>
      <c r="N258" s="1"/>
      <c r="O258">
        <v>0</v>
      </c>
      <c r="P258">
        <v>2</v>
      </c>
      <c r="Q258">
        <v>0</v>
      </c>
      <c r="R258" s="1">
        <f t="shared" si="47"/>
        <v>0</v>
      </c>
      <c r="S258" s="1">
        <f t="shared" si="48"/>
        <v>1</v>
      </c>
      <c r="T258" s="1">
        <f t="shared" si="49"/>
        <v>1</v>
      </c>
      <c r="U258" s="1">
        <f t="shared" si="50"/>
        <v>2</v>
      </c>
      <c r="V258" s="1">
        <f t="shared" si="51"/>
        <v>0</v>
      </c>
      <c r="W258" s="1" t="str">
        <f t="shared" si="52"/>
        <v>BGO</v>
      </c>
      <c r="X258" t="s">
        <v>39</v>
      </c>
      <c r="Y258" t="s">
        <v>149</v>
      </c>
      <c r="Z258" t="s">
        <v>261</v>
      </c>
      <c r="AA258" t="s">
        <v>262</v>
      </c>
      <c r="AB258">
        <v>1</v>
      </c>
      <c r="AJ258">
        <f t="shared" si="53"/>
        <v>0</v>
      </c>
      <c r="AK258">
        <f t="shared" si="54"/>
        <v>0</v>
      </c>
      <c r="AL258">
        <f t="shared" si="55"/>
        <v>0</v>
      </c>
      <c r="AM258">
        <f t="shared" si="45"/>
        <v>0</v>
      </c>
      <c r="AN258">
        <f t="shared" si="56"/>
        <v>0</v>
      </c>
      <c r="AO258">
        <f t="shared" si="57"/>
        <v>0</v>
      </c>
      <c r="AP258">
        <f t="shared" si="58"/>
        <v>0</v>
      </c>
      <c r="AQ258">
        <f t="shared" si="46"/>
        <v>0</v>
      </c>
      <c r="AR258">
        <f t="shared" si="59"/>
        <v>0</v>
      </c>
    </row>
    <row r="259" spans="1:44" x14ac:dyDescent="0.25">
      <c r="A259" t="s">
        <v>302</v>
      </c>
      <c r="B259">
        <v>0</v>
      </c>
      <c r="I259" s="1">
        <v>0</v>
      </c>
      <c r="J259" s="1"/>
      <c r="K259" s="1"/>
      <c r="L259" s="1"/>
      <c r="M259" s="1" t="b">
        <v>0</v>
      </c>
      <c r="N259" s="1"/>
      <c r="O259">
        <v>0</v>
      </c>
      <c r="P259">
        <v>3</v>
      </c>
      <c r="Q259">
        <v>0</v>
      </c>
      <c r="R259" s="1">
        <f t="shared" si="47"/>
        <v>0</v>
      </c>
      <c r="S259" s="1">
        <f t="shared" si="48"/>
        <v>2</v>
      </c>
      <c r="T259" s="1">
        <f t="shared" si="49"/>
        <v>1</v>
      </c>
      <c r="U259" s="1">
        <f t="shared" si="50"/>
        <v>3</v>
      </c>
      <c r="V259" s="1">
        <f t="shared" si="51"/>
        <v>0</v>
      </c>
      <c r="W259" s="1" t="str">
        <f t="shared" si="52"/>
        <v>BGO</v>
      </c>
      <c r="X259" t="s">
        <v>39</v>
      </c>
      <c r="Y259" t="s">
        <v>149</v>
      </c>
      <c r="Z259" t="s">
        <v>261</v>
      </c>
      <c r="AA259" t="s">
        <v>262</v>
      </c>
      <c r="AB259">
        <v>1</v>
      </c>
      <c r="AJ259">
        <f t="shared" si="53"/>
        <v>0</v>
      </c>
      <c r="AK259">
        <f t="shared" si="54"/>
        <v>0</v>
      </c>
      <c r="AL259">
        <f t="shared" si="55"/>
        <v>0</v>
      </c>
      <c r="AM259">
        <f t="shared" ref="AM259:AM322" si="60">INDEX($AU$3:$AU$10,MATCH(AK259,$AT$3:$AT$10,0))</f>
        <v>0</v>
      </c>
      <c r="AN259">
        <f t="shared" si="56"/>
        <v>0</v>
      </c>
      <c r="AO259">
        <f t="shared" si="57"/>
        <v>0</v>
      </c>
      <c r="AP259">
        <f t="shared" si="58"/>
        <v>0</v>
      </c>
      <c r="AQ259">
        <f t="shared" ref="AQ259:AQ322" si="61">N(AM259&lt;&gt;AO259)</f>
        <v>0</v>
      </c>
      <c r="AR259">
        <f t="shared" si="59"/>
        <v>0</v>
      </c>
    </row>
    <row r="260" spans="1:44" x14ac:dyDescent="0.25">
      <c r="A260" t="s">
        <v>303</v>
      </c>
      <c r="C260">
        <v>0</v>
      </c>
      <c r="I260" s="1"/>
      <c r="J260" s="1">
        <v>0</v>
      </c>
      <c r="K260" s="1"/>
      <c r="L260" s="1"/>
      <c r="M260" s="1" t="b">
        <v>0</v>
      </c>
      <c r="N260" s="1"/>
      <c r="O260">
        <v>0</v>
      </c>
      <c r="P260">
        <v>1</v>
      </c>
      <c r="Q260">
        <v>0</v>
      </c>
      <c r="R260" s="1">
        <f t="shared" ref="R260:R323" si="62">COUNTIF(B260:E260,"b4")</f>
        <v>0</v>
      </c>
      <c r="S260" s="1">
        <f t="shared" ref="S260:S323" si="63">VALUE(LEFT(A260,1))</f>
        <v>0</v>
      </c>
      <c r="T260" s="1">
        <f t="shared" ref="T260:T323" si="64">COUNTIF(B260:E260,0)</f>
        <v>1</v>
      </c>
      <c r="U260" s="1">
        <f t="shared" ref="U260:U323" si="65">S260+T260</f>
        <v>1</v>
      </c>
      <c r="V260" s="1">
        <f t="shared" ref="V260:V323" si="66">VALUE(_xlfn.TEXTBEFORE(_xlfn.TEXTAFTER(A260,"_"),"_"))</f>
        <v>1</v>
      </c>
      <c r="W260" s="1" t="str">
        <f t="shared" ref="W260:W323" si="67">_xlfn.TEXTAFTER(A260,"_",-1)</f>
        <v>CS</v>
      </c>
      <c r="X260" t="s">
        <v>149</v>
      </c>
      <c r="Y260" t="s">
        <v>149</v>
      </c>
      <c r="AA260" t="s">
        <v>304</v>
      </c>
      <c r="AB260">
        <v>2</v>
      </c>
      <c r="AJ260">
        <f t="shared" ref="AJ260:AJ323" si="68">VALUE(IF(E260&lt;&gt;"","1","0")&amp;IF(D260&lt;&gt;"","1","0")&amp;IF(C260&lt;&gt;"","1","0"))</f>
        <v>1</v>
      </c>
      <c r="AK260">
        <f t="shared" ref="AK260:AK323" si="69">VALUE(IF(H260&lt;&gt;"","1","0")&amp;IF(G260&lt;&gt;"","1","0")&amp;IF(F260&lt;&gt;"","1","0"))</f>
        <v>0</v>
      </c>
      <c r="AL260">
        <f t="shared" ref="AL260:AL323" si="70">INDEX($AU$3:$AU$10,MATCH(AJ260,$AT$3:$AT$10,0))</f>
        <v>1</v>
      </c>
      <c r="AM260">
        <f t="shared" si="60"/>
        <v>0</v>
      </c>
      <c r="AN260">
        <f t="shared" ref="AN260:AN323" si="71">VALUE(_xlfn.TEXTBEFORE(_xlfn.TEXTAFTER(A260,"_"),"_"))</f>
        <v>1</v>
      </c>
      <c r="AO260">
        <f t="shared" ref="AO260:AO323" si="72">Q260</f>
        <v>0</v>
      </c>
      <c r="AP260">
        <f t="shared" ref="AP260:AP323" si="73">N(AL260&lt;&gt;AN260)</f>
        <v>0</v>
      </c>
      <c r="AQ260">
        <f t="shared" si="61"/>
        <v>0</v>
      </c>
      <c r="AR260">
        <f t="shared" ref="AR260:AR323" si="74">N(OR(AP260,AQ260))</f>
        <v>0</v>
      </c>
    </row>
    <row r="261" spans="1:44" x14ac:dyDescent="0.25">
      <c r="A261" t="s">
        <v>305</v>
      </c>
      <c r="C261">
        <v>0</v>
      </c>
      <c r="E261" t="s">
        <v>7</v>
      </c>
      <c r="H261" t="s">
        <v>4</v>
      </c>
      <c r="I261" s="1"/>
      <c r="J261" s="1">
        <v>0</v>
      </c>
      <c r="K261" s="1"/>
      <c r="L261" s="1" t="s">
        <v>7</v>
      </c>
      <c r="M261" s="1" t="b">
        <v>0</v>
      </c>
      <c r="N261" s="1"/>
      <c r="O261">
        <v>0</v>
      </c>
      <c r="P261">
        <v>1</v>
      </c>
      <c r="Q261">
        <v>3</v>
      </c>
      <c r="R261" s="1">
        <f t="shared" si="62"/>
        <v>0</v>
      </c>
      <c r="S261" s="1">
        <f t="shared" si="63"/>
        <v>0</v>
      </c>
      <c r="T261" s="1">
        <f t="shared" si="64"/>
        <v>1</v>
      </c>
      <c r="U261" s="1">
        <f t="shared" si="65"/>
        <v>1</v>
      </c>
      <c r="V261" s="1">
        <f t="shared" si="66"/>
        <v>5</v>
      </c>
      <c r="W261" s="1" t="str">
        <f t="shared" si="67"/>
        <v>CS</v>
      </c>
      <c r="X261" t="s">
        <v>149</v>
      </c>
      <c r="Y261" t="s">
        <v>149</v>
      </c>
      <c r="AA261" t="s">
        <v>304</v>
      </c>
      <c r="AB261">
        <v>2</v>
      </c>
      <c r="AJ261">
        <f t="shared" si="68"/>
        <v>101</v>
      </c>
      <c r="AK261">
        <f t="shared" si="69"/>
        <v>100</v>
      </c>
      <c r="AL261">
        <f t="shared" si="70"/>
        <v>5</v>
      </c>
      <c r="AM261">
        <f t="shared" si="60"/>
        <v>3</v>
      </c>
      <c r="AN261">
        <f t="shared" si="71"/>
        <v>5</v>
      </c>
      <c r="AO261">
        <f t="shared" si="72"/>
        <v>3</v>
      </c>
      <c r="AP261">
        <f t="shared" si="73"/>
        <v>0</v>
      </c>
      <c r="AQ261">
        <f t="shared" si="61"/>
        <v>0</v>
      </c>
      <c r="AR261">
        <f t="shared" si="74"/>
        <v>0</v>
      </c>
    </row>
    <row r="262" spans="1:44" x14ac:dyDescent="0.25">
      <c r="A262" t="s">
        <v>306</v>
      </c>
      <c r="C262">
        <v>0</v>
      </c>
      <c r="I262" s="1"/>
      <c r="J262" s="1">
        <v>0</v>
      </c>
      <c r="K262" s="1"/>
      <c r="L262" s="1"/>
      <c r="M262" s="1" t="b">
        <v>0</v>
      </c>
      <c r="N262" s="1"/>
      <c r="O262">
        <v>0</v>
      </c>
      <c r="P262">
        <v>2</v>
      </c>
      <c r="Q262">
        <v>0</v>
      </c>
      <c r="R262" s="1">
        <f t="shared" si="62"/>
        <v>0</v>
      </c>
      <c r="S262" s="1">
        <f t="shared" si="63"/>
        <v>1</v>
      </c>
      <c r="T262" s="1">
        <f t="shared" si="64"/>
        <v>1</v>
      </c>
      <c r="U262" s="1">
        <f t="shared" si="65"/>
        <v>2</v>
      </c>
      <c r="V262" s="1">
        <f t="shared" si="66"/>
        <v>1</v>
      </c>
      <c r="W262" s="1" t="str">
        <f t="shared" si="67"/>
        <v>CS</v>
      </c>
      <c r="X262" t="s">
        <v>149</v>
      </c>
      <c r="Y262" t="s">
        <v>149</v>
      </c>
      <c r="AA262" t="s">
        <v>304</v>
      </c>
      <c r="AB262">
        <v>2</v>
      </c>
      <c r="AJ262">
        <f t="shared" si="68"/>
        <v>1</v>
      </c>
      <c r="AK262">
        <f t="shared" si="69"/>
        <v>0</v>
      </c>
      <c r="AL262">
        <f t="shared" si="70"/>
        <v>1</v>
      </c>
      <c r="AM262">
        <f t="shared" si="60"/>
        <v>0</v>
      </c>
      <c r="AN262">
        <f t="shared" si="71"/>
        <v>1</v>
      </c>
      <c r="AO262">
        <f t="shared" si="72"/>
        <v>0</v>
      </c>
      <c r="AP262">
        <f t="shared" si="73"/>
        <v>0</v>
      </c>
      <c r="AQ262">
        <f t="shared" si="61"/>
        <v>0</v>
      </c>
      <c r="AR262">
        <f t="shared" si="74"/>
        <v>0</v>
      </c>
    </row>
    <row r="263" spans="1:44" x14ac:dyDescent="0.25">
      <c r="A263" t="s">
        <v>307</v>
      </c>
      <c r="C263">
        <v>0</v>
      </c>
      <c r="E263" t="s">
        <v>7</v>
      </c>
      <c r="H263" t="s">
        <v>4</v>
      </c>
      <c r="I263" s="1"/>
      <c r="J263" s="1">
        <v>0</v>
      </c>
      <c r="K263" s="1"/>
      <c r="L263" s="1" t="s">
        <v>7</v>
      </c>
      <c r="M263" s="1" t="b">
        <v>0</v>
      </c>
      <c r="N263" s="1"/>
      <c r="O263">
        <v>0</v>
      </c>
      <c r="P263">
        <v>2</v>
      </c>
      <c r="Q263">
        <v>3</v>
      </c>
      <c r="R263" s="1">
        <f t="shared" si="62"/>
        <v>0</v>
      </c>
      <c r="S263" s="1">
        <f t="shared" si="63"/>
        <v>1</v>
      </c>
      <c r="T263" s="1">
        <f t="shared" si="64"/>
        <v>1</v>
      </c>
      <c r="U263" s="1">
        <f t="shared" si="65"/>
        <v>2</v>
      </c>
      <c r="V263" s="1">
        <f t="shared" si="66"/>
        <v>5</v>
      </c>
      <c r="W263" s="1" t="str">
        <f t="shared" si="67"/>
        <v>CS</v>
      </c>
      <c r="X263" t="s">
        <v>149</v>
      </c>
      <c r="Y263" t="s">
        <v>149</v>
      </c>
      <c r="AA263" t="s">
        <v>304</v>
      </c>
      <c r="AB263">
        <v>2</v>
      </c>
      <c r="AJ263">
        <f t="shared" si="68"/>
        <v>101</v>
      </c>
      <c r="AK263">
        <f t="shared" si="69"/>
        <v>100</v>
      </c>
      <c r="AL263">
        <f t="shared" si="70"/>
        <v>5</v>
      </c>
      <c r="AM263">
        <f t="shared" si="60"/>
        <v>3</v>
      </c>
      <c r="AN263">
        <f t="shared" si="71"/>
        <v>5</v>
      </c>
      <c r="AO263">
        <f t="shared" si="72"/>
        <v>3</v>
      </c>
      <c r="AP263">
        <f t="shared" si="73"/>
        <v>0</v>
      </c>
      <c r="AQ263">
        <f t="shared" si="61"/>
        <v>0</v>
      </c>
      <c r="AR263">
        <f t="shared" si="74"/>
        <v>0</v>
      </c>
    </row>
    <row r="264" spans="1:44" x14ac:dyDescent="0.25">
      <c r="A264" t="s">
        <v>308</v>
      </c>
      <c r="C264">
        <v>0</v>
      </c>
      <c r="I264" s="1"/>
      <c r="J264" s="1">
        <v>0</v>
      </c>
      <c r="K264" s="1"/>
      <c r="L264" s="1"/>
      <c r="M264" s="1" t="b">
        <v>0</v>
      </c>
      <c r="N264" s="1"/>
      <c r="O264">
        <v>0</v>
      </c>
      <c r="P264">
        <v>3</v>
      </c>
      <c r="Q264">
        <v>0</v>
      </c>
      <c r="R264" s="1">
        <f t="shared" si="62"/>
        <v>0</v>
      </c>
      <c r="S264" s="1">
        <f t="shared" si="63"/>
        <v>2</v>
      </c>
      <c r="T264" s="1">
        <f t="shared" si="64"/>
        <v>1</v>
      </c>
      <c r="U264" s="1">
        <f t="shared" si="65"/>
        <v>3</v>
      </c>
      <c r="V264" s="1">
        <f t="shared" si="66"/>
        <v>1</v>
      </c>
      <c r="W264" s="1" t="str">
        <f t="shared" si="67"/>
        <v>CS</v>
      </c>
      <c r="X264" t="s">
        <v>149</v>
      </c>
      <c r="Y264" t="s">
        <v>149</v>
      </c>
      <c r="AA264" t="s">
        <v>304</v>
      </c>
      <c r="AB264">
        <v>2</v>
      </c>
      <c r="AJ264">
        <f t="shared" si="68"/>
        <v>1</v>
      </c>
      <c r="AK264">
        <f t="shared" si="69"/>
        <v>0</v>
      </c>
      <c r="AL264">
        <f t="shared" si="70"/>
        <v>1</v>
      </c>
      <c r="AM264">
        <f t="shared" si="60"/>
        <v>0</v>
      </c>
      <c r="AN264">
        <f t="shared" si="71"/>
        <v>1</v>
      </c>
      <c r="AO264">
        <f t="shared" si="72"/>
        <v>0</v>
      </c>
      <c r="AP264">
        <f t="shared" si="73"/>
        <v>0</v>
      </c>
      <c r="AQ264">
        <f t="shared" si="61"/>
        <v>0</v>
      </c>
      <c r="AR264">
        <f t="shared" si="74"/>
        <v>0</v>
      </c>
    </row>
    <row r="265" spans="1:44" x14ac:dyDescent="0.25">
      <c r="A265" t="s">
        <v>309</v>
      </c>
      <c r="C265">
        <v>0</v>
      </c>
      <c r="I265" s="1"/>
      <c r="J265" s="1">
        <v>0</v>
      </c>
      <c r="K265" s="1"/>
      <c r="L265" s="1" t="s">
        <v>7</v>
      </c>
      <c r="M265" s="1" t="b">
        <v>0</v>
      </c>
      <c r="N265" s="1"/>
      <c r="O265">
        <v>0</v>
      </c>
      <c r="P265">
        <v>3</v>
      </c>
      <c r="Q265">
        <v>0</v>
      </c>
      <c r="R265" s="1">
        <f t="shared" si="62"/>
        <v>0</v>
      </c>
      <c r="S265" s="1">
        <f t="shared" si="63"/>
        <v>2</v>
      </c>
      <c r="T265" s="1">
        <f t="shared" si="64"/>
        <v>1</v>
      </c>
      <c r="U265" s="1">
        <f t="shared" si="65"/>
        <v>3</v>
      </c>
      <c r="V265" s="1">
        <f t="shared" si="66"/>
        <v>5</v>
      </c>
      <c r="W265" s="1" t="str">
        <f t="shared" si="67"/>
        <v>CS</v>
      </c>
      <c r="X265" t="s">
        <v>149</v>
      </c>
      <c r="Y265" t="s">
        <v>149</v>
      </c>
      <c r="AA265" t="s">
        <v>304</v>
      </c>
      <c r="AB265">
        <v>2</v>
      </c>
      <c r="AJ265">
        <f t="shared" si="68"/>
        <v>1</v>
      </c>
      <c r="AK265">
        <f t="shared" si="69"/>
        <v>0</v>
      </c>
      <c r="AL265">
        <f t="shared" si="70"/>
        <v>1</v>
      </c>
      <c r="AM265">
        <f t="shared" si="60"/>
        <v>0</v>
      </c>
      <c r="AN265">
        <f t="shared" si="71"/>
        <v>5</v>
      </c>
      <c r="AO265">
        <f t="shared" si="72"/>
        <v>0</v>
      </c>
      <c r="AP265">
        <f t="shared" si="73"/>
        <v>1</v>
      </c>
      <c r="AQ265">
        <f t="shared" si="61"/>
        <v>0</v>
      </c>
      <c r="AR265">
        <f t="shared" si="74"/>
        <v>1</v>
      </c>
    </row>
    <row r="266" spans="1:44" x14ac:dyDescent="0.25">
      <c r="A266" t="s">
        <v>310</v>
      </c>
      <c r="C266">
        <v>0</v>
      </c>
      <c r="I266" s="1"/>
      <c r="J266" s="1">
        <v>0</v>
      </c>
      <c r="K266" s="1"/>
      <c r="L266" s="1"/>
      <c r="M266" s="1" t="b">
        <v>0</v>
      </c>
      <c r="N266" s="1"/>
      <c r="O266">
        <v>0</v>
      </c>
      <c r="P266">
        <v>1</v>
      </c>
      <c r="Q266">
        <v>0</v>
      </c>
      <c r="R266" s="1">
        <f t="shared" si="62"/>
        <v>0</v>
      </c>
      <c r="S266" s="1">
        <f t="shared" si="63"/>
        <v>0</v>
      </c>
      <c r="T266" s="1">
        <f t="shared" si="64"/>
        <v>1</v>
      </c>
      <c r="U266" s="1">
        <f t="shared" si="65"/>
        <v>1</v>
      </c>
      <c r="V266" s="1">
        <f t="shared" si="66"/>
        <v>1</v>
      </c>
      <c r="W266" s="1" t="str">
        <f t="shared" si="67"/>
        <v>CS2</v>
      </c>
      <c r="X266" t="s">
        <v>149</v>
      </c>
      <c r="Y266" t="s">
        <v>149</v>
      </c>
      <c r="AA266" t="s">
        <v>304</v>
      </c>
      <c r="AB266">
        <v>2</v>
      </c>
      <c r="AJ266">
        <f t="shared" si="68"/>
        <v>1</v>
      </c>
      <c r="AK266">
        <f t="shared" si="69"/>
        <v>0</v>
      </c>
      <c r="AL266">
        <f t="shared" si="70"/>
        <v>1</v>
      </c>
      <c r="AM266">
        <f t="shared" si="60"/>
        <v>0</v>
      </c>
      <c r="AN266">
        <f t="shared" si="71"/>
        <v>1</v>
      </c>
      <c r="AO266">
        <f t="shared" si="72"/>
        <v>0</v>
      </c>
      <c r="AP266">
        <f t="shared" si="73"/>
        <v>0</v>
      </c>
      <c r="AQ266">
        <f t="shared" si="61"/>
        <v>0</v>
      </c>
      <c r="AR266">
        <f t="shared" si="74"/>
        <v>0</v>
      </c>
    </row>
    <row r="267" spans="1:44" x14ac:dyDescent="0.25">
      <c r="A267" t="s">
        <v>311</v>
      </c>
      <c r="C267">
        <v>0</v>
      </c>
      <c r="E267" t="s">
        <v>7</v>
      </c>
      <c r="H267" t="s">
        <v>4</v>
      </c>
      <c r="I267" s="1"/>
      <c r="J267" s="1">
        <v>0</v>
      </c>
      <c r="K267" s="1"/>
      <c r="L267" s="1" t="s">
        <v>7</v>
      </c>
      <c r="M267" s="1" t="b">
        <v>0</v>
      </c>
      <c r="N267" s="1"/>
      <c r="O267">
        <v>0</v>
      </c>
      <c r="P267">
        <v>1</v>
      </c>
      <c r="Q267">
        <v>3</v>
      </c>
      <c r="R267" s="1">
        <f t="shared" si="62"/>
        <v>0</v>
      </c>
      <c r="S267" s="1">
        <f t="shared" si="63"/>
        <v>0</v>
      </c>
      <c r="T267" s="1">
        <f t="shared" si="64"/>
        <v>1</v>
      </c>
      <c r="U267" s="1">
        <f t="shared" si="65"/>
        <v>1</v>
      </c>
      <c r="V267" s="1">
        <f t="shared" si="66"/>
        <v>5</v>
      </c>
      <c r="W267" s="1" t="str">
        <f t="shared" si="67"/>
        <v>CS2</v>
      </c>
      <c r="X267" t="s">
        <v>149</v>
      </c>
      <c r="Y267" t="s">
        <v>149</v>
      </c>
      <c r="AA267" t="s">
        <v>304</v>
      </c>
      <c r="AB267">
        <v>2</v>
      </c>
      <c r="AJ267">
        <f t="shared" si="68"/>
        <v>101</v>
      </c>
      <c r="AK267">
        <f t="shared" si="69"/>
        <v>100</v>
      </c>
      <c r="AL267">
        <f t="shared" si="70"/>
        <v>5</v>
      </c>
      <c r="AM267">
        <f t="shared" si="60"/>
        <v>3</v>
      </c>
      <c r="AN267">
        <f t="shared" si="71"/>
        <v>5</v>
      </c>
      <c r="AO267">
        <f t="shared" si="72"/>
        <v>3</v>
      </c>
      <c r="AP267">
        <f t="shared" si="73"/>
        <v>0</v>
      </c>
      <c r="AQ267">
        <f t="shared" si="61"/>
        <v>0</v>
      </c>
      <c r="AR267">
        <f t="shared" si="74"/>
        <v>0</v>
      </c>
    </row>
    <row r="268" spans="1:44" x14ac:dyDescent="0.25">
      <c r="A268" t="s">
        <v>312</v>
      </c>
      <c r="C268">
        <v>0</v>
      </c>
      <c r="I268" s="1"/>
      <c r="J268" s="1">
        <v>0</v>
      </c>
      <c r="K268" s="1"/>
      <c r="L268" s="1"/>
      <c r="M268" s="1" t="b">
        <v>0</v>
      </c>
      <c r="N268" s="1"/>
      <c r="O268">
        <v>0</v>
      </c>
      <c r="P268">
        <v>2</v>
      </c>
      <c r="Q268">
        <v>0</v>
      </c>
      <c r="R268" s="1">
        <f t="shared" si="62"/>
        <v>0</v>
      </c>
      <c r="S268" s="1">
        <f t="shared" si="63"/>
        <v>1</v>
      </c>
      <c r="T268" s="1">
        <f t="shared" si="64"/>
        <v>1</v>
      </c>
      <c r="U268" s="1">
        <f t="shared" si="65"/>
        <v>2</v>
      </c>
      <c r="V268" s="1">
        <f t="shared" si="66"/>
        <v>1</v>
      </c>
      <c r="W268" s="1" t="str">
        <f t="shared" si="67"/>
        <v>CS2</v>
      </c>
      <c r="X268" t="s">
        <v>149</v>
      </c>
      <c r="Y268" t="s">
        <v>149</v>
      </c>
      <c r="AA268" t="s">
        <v>304</v>
      </c>
      <c r="AB268">
        <v>2</v>
      </c>
      <c r="AJ268">
        <f t="shared" si="68"/>
        <v>1</v>
      </c>
      <c r="AK268">
        <f t="shared" si="69"/>
        <v>0</v>
      </c>
      <c r="AL268">
        <f t="shared" si="70"/>
        <v>1</v>
      </c>
      <c r="AM268">
        <f t="shared" si="60"/>
        <v>0</v>
      </c>
      <c r="AN268">
        <f t="shared" si="71"/>
        <v>1</v>
      </c>
      <c r="AO268">
        <f t="shared" si="72"/>
        <v>0</v>
      </c>
      <c r="AP268">
        <f t="shared" si="73"/>
        <v>0</v>
      </c>
      <c r="AQ268">
        <f t="shared" si="61"/>
        <v>0</v>
      </c>
      <c r="AR268">
        <f t="shared" si="74"/>
        <v>0</v>
      </c>
    </row>
    <row r="269" spans="1:44" x14ac:dyDescent="0.25">
      <c r="A269" t="s">
        <v>313</v>
      </c>
      <c r="C269">
        <v>0</v>
      </c>
      <c r="E269" t="s">
        <v>7</v>
      </c>
      <c r="H269" t="s">
        <v>4</v>
      </c>
      <c r="I269" s="1"/>
      <c r="J269" s="1">
        <v>0</v>
      </c>
      <c r="K269" s="1"/>
      <c r="L269" s="1" t="s">
        <v>7</v>
      </c>
      <c r="M269" s="1" t="b">
        <v>0</v>
      </c>
      <c r="N269" s="1"/>
      <c r="O269">
        <v>0</v>
      </c>
      <c r="P269">
        <v>2</v>
      </c>
      <c r="Q269">
        <v>3</v>
      </c>
      <c r="R269" s="1">
        <f t="shared" si="62"/>
        <v>0</v>
      </c>
      <c r="S269" s="1">
        <f t="shared" si="63"/>
        <v>1</v>
      </c>
      <c r="T269" s="1">
        <f t="shared" si="64"/>
        <v>1</v>
      </c>
      <c r="U269" s="1">
        <f t="shared" si="65"/>
        <v>2</v>
      </c>
      <c r="V269" s="1">
        <f t="shared" si="66"/>
        <v>5</v>
      </c>
      <c r="W269" s="1" t="str">
        <f t="shared" si="67"/>
        <v>CS2</v>
      </c>
      <c r="X269" t="s">
        <v>149</v>
      </c>
      <c r="Y269" t="s">
        <v>149</v>
      </c>
      <c r="AA269" t="s">
        <v>304</v>
      </c>
      <c r="AB269">
        <v>2</v>
      </c>
      <c r="AJ269">
        <f t="shared" si="68"/>
        <v>101</v>
      </c>
      <c r="AK269">
        <f t="shared" si="69"/>
        <v>100</v>
      </c>
      <c r="AL269">
        <f t="shared" si="70"/>
        <v>5</v>
      </c>
      <c r="AM269">
        <f t="shared" si="60"/>
        <v>3</v>
      </c>
      <c r="AN269">
        <f t="shared" si="71"/>
        <v>5</v>
      </c>
      <c r="AO269">
        <f t="shared" si="72"/>
        <v>3</v>
      </c>
      <c r="AP269">
        <f t="shared" si="73"/>
        <v>0</v>
      </c>
      <c r="AQ269">
        <f t="shared" si="61"/>
        <v>0</v>
      </c>
      <c r="AR269">
        <f t="shared" si="74"/>
        <v>0</v>
      </c>
    </row>
    <row r="270" spans="1:44" x14ac:dyDescent="0.25">
      <c r="A270" t="s">
        <v>314</v>
      </c>
      <c r="C270">
        <v>0</v>
      </c>
      <c r="I270" s="1"/>
      <c r="J270" s="1">
        <v>0</v>
      </c>
      <c r="K270" s="1"/>
      <c r="L270" s="1"/>
      <c r="M270" s="1" t="b">
        <v>0</v>
      </c>
      <c r="N270" s="1"/>
      <c r="O270">
        <v>0</v>
      </c>
      <c r="P270">
        <v>3</v>
      </c>
      <c r="Q270">
        <v>0</v>
      </c>
      <c r="R270" s="1">
        <f t="shared" si="62"/>
        <v>0</v>
      </c>
      <c r="S270" s="1">
        <f t="shared" si="63"/>
        <v>2</v>
      </c>
      <c r="T270" s="1">
        <f t="shared" si="64"/>
        <v>1</v>
      </c>
      <c r="U270" s="1">
        <f t="shared" si="65"/>
        <v>3</v>
      </c>
      <c r="V270" s="1">
        <f t="shared" si="66"/>
        <v>1</v>
      </c>
      <c r="W270" s="1" t="str">
        <f t="shared" si="67"/>
        <v>CS2</v>
      </c>
      <c r="X270" t="s">
        <v>149</v>
      </c>
      <c r="Y270" t="s">
        <v>149</v>
      </c>
      <c r="AA270" t="s">
        <v>304</v>
      </c>
      <c r="AB270">
        <v>2</v>
      </c>
      <c r="AJ270">
        <f t="shared" si="68"/>
        <v>1</v>
      </c>
      <c r="AK270">
        <f t="shared" si="69"/>
        <v>0</v>
      </c>
      <c r="AL270">
        <f t="shared" si="70"/>
        <v>1</v>
      </c>
      <c r="AM270">
        <f t="shared" si="60"/>
        <v>0</v>
      </c>
      <c r="AN270">
        <f t="shared" si="71"/>
        <v>1</v>
      </c>
      <c r="AO270">
        <f t="shared" si="72"/>
        <v>0</v>
      </c>
      <c r="AP270">
        <f t="shared" si="73"/>
        <v>0</v>
      </c>
      <c r="AQ270">
        <f t="shared" si="61"/>
        <v>0</v>
      </c>
      <c r="AR270">
        <f t="shared" si="74"/>
        <v>0</v>
      </c>
    </row>
    <row r="271" spans="1:44" x14ac:dyDescent="0.25">
      <c r="A271" t="s">
        <v>315</v>
      </c>
      <c r="C271">
        <v>0</v>
      </c>
      <c r="I271" s="1"/>
      <c r="J271" s="1">
        <v>0</v>
      </c>
      <c r="K271" s="1"/>
      <c r="L271" s="1" t="s">
        <v>7</v>
      </c>
      <c r="M271" s="1" t="b">
        <v>0</v>
      </c>
      <c r="N271" s="1"/>
      <c r="O271">
        <v>0</v>
      </c>
      <c r="P271">
        <v>3</v>
      </c>
      <c r="Q271">
        <v>0</v>
      </c>
      <c r="R271" s="1">
        <f t="shared" si="62"/>
        <v>0</v>
      </c>
      <c r="S271" s="1">
        <f t="shared" si="63"/>
        <v>2</v>
      </c>
      <c r="T271" s="1">
        <f t="shared" si="64"/>
        <v>1</v>
      </c>
      <c r="U271" s="1">
        <f t="shared" si="65"/>
        <v>3</v>
      </c>
      <c r="V271" s="1">
        <f t="shared" si="66"/>
        <v>5</v>
      </c>
      <c r="W271" s="1" t="str">
        <f t="shared" si="67"/>
        <v>CS2</v>
      </c>
      <c r="X271" t="s">
        <v>149</v>
      </c>
      <c r="Y271" t="s">
        <v>149</v>
      </c>
      <c r="AA271" t="s">
        <v>304</v>
      </c>
      <c r="AB271">
        <v>2</v>
      </c>
      <c r="AJ271">
        <f t="shared" si="68"/>
        <v>1</v>
      </c>
      <c r="AK271">
        <f t="shared" si="69"/>
        <v>0</v>
      </c>
      <c r="AL271">
        <f t="shared" si="70"/>
        <v>1</v>
      </c>
      <c r="AM271">
        <f t="shared" si="60"/>
        <v>0</v>
      </c>
      <c r="AN271">
        <f t="shared" si="71"/>
        <v>5</v>
      </c>
      <c r="AO271">
        <f t="shared" si="72"/>
        <v>0</v>
      </c>
      <c r="AP271">
        <f t="shared" si="73"/>
        <v>1</v>
      </c>
      <c r="AQ271">
        <f t="shared" si="61"/>
        <v>0</v>
      </c>
      <c r="AR271">
        <f t="shared" si="74"/>
        <v>1</v>
      </c>
    </row>
    <row r="272" spans="1:44" x14ac:dyDescent="0.25">
      <c r="A272" t="s">
        <v>316</v>
      </c>
      <c r="D272">
        <v>0</v>
      </c>
      <c r="I272" s="1"/>
      <c r="J272" s="1"/>
      <c r="K272" s="1">
        <v>0</v>
      </c>
      <c r="L272" s="1"/>
      <c r="M272" s="1" t="b">
        <v>0</v>
      </c>
      <c r="N272" s="1"/>
      <c r="O272">
        <v>0</v>
      </c>
      <c r="P272">
        <v>1</v>
      </c>
      <c r="Q272">
        <v>0</v>
      </c>
      <c r="R272" s="1">
        <f t="shared" si="62"/>
        <v>0</v>
      </c>
      <c r="S272" s="1">
        <f t="shared" si="63"/>
        <v>0</v>
      </c>
      <c r="T272" s="1">
        <f t="shared" si="64"/>
        <v>1</v>
      </c>
      <c r="U272" s="1">
        <f t="shared" si="65"/>
        <v>1</v>
      </c>
      <c r="V272" s="1">
        <f t="shared" si="66"/>
        <v>2</v>
      </c>
      <c r="W272" s="1" t="str">
        <f t="shared" si="67"/>
        <v>CS3</v>
      </c>
      <c r="X272" t="s">
        <v>149</v>
      </c>
      <c r="Y272" t="s">
        <v>149</v>
      </c>
      <c r="AA272" t="s">
        <v>304</v>
      </c>
      <c r="AB272">
        <v>3</v>
      </c>
      <c r="AJ272">
        <f t="shared" si="68"/>
        <v>10</v>
      </c>
      <c r="AK272">
        <f t="shared" si="69"/>
        <v>0</v>
      </c>
      <c r="AL272">
        <f t="shared" si="70"/>
        <v>2</v>
      </c>
      <c r="AM272">
        <f t="shared" si="60"/>
        <v>0</v>
      </c>
      <c r="AN272">
        <f t="shared" si="71"/>
        <v>2</v>
      </c>
      <c r="AO272">
        <f t="shared" si="72"/>
        <v>0</v>
      </c>
      <c r="AP272">
        <f t="shared" si="73"/>
        <v>0</v>
      </c>
      <c r="AQ272">
        <f t="shared" si="61"/>
        <v>0</v>
      </c>
      <c r="AR272">
        <f t="shared" si="74"/>
        <v>0</v>
      </c>
    </row>
    <row r="273" spans="1:44" x14ac:dyDescent="0.25">
      <c r="A273" t="s">
        <v>317</v>
      </c>
      <c r="C273" t="s">
        <v>6</v>
      </c>
      <c r="D273">
        <v>0</v>
      </c>
      <c r="G273" t="s">
        <v>2</v>
      </c>
      <c r="I273" s="1"/>
      <c r="J273" s="1" t="s">
        <v>6</v>
      </c>
      <c r="K273" s="1">
        <v>0</v>
      </c>
      <c r="L273" s="1"/>
      <c r="M273" s="1" t="b">
        <v>0</v>
      </c>
      <c r="N273" s="1"/>
      <c r="O273">
        <v>0</v>
      </c>
      <c r="P273">
        <v>1</v>
      </c>
      <c r="Q273">
        <v>2</v>
      </c>
      <c r="R273" s="1">
        <f t="shared" si="62"/>
        <v>0</v>
      </c>
      <c r="S273" s="1">
        <f t="shared" si="63"/>
        <v>0</v>
      </c>
      <c r="T273" s="1">
        <f t="shared" si="64"/>
        <v>1</v>
      </c>
      <c r="U273" s="1">
        <f t="shared" si="65"/>
        <v>1</v>
      </c>
      <c r="V273" s="1">
        <f t="shared" si="66"/>
        <v>4</v>
      </c>
      <c r="W273" s="1" t="str">
        <f t="shared" si="67"/>
        <v>CS3</v>
      </c>
      <c r="X273" t="s">
        <v>149</v>
      </c>
      <c r="Y273" t="s">
        <v>149</v>
      </c>
      <c r="AA273" t="s">
        <v>304</v>
      </c>
      <c r="AB273">
        <v>3</v>
      </c>
      <c r="AJ273">
        <f t="shared" si="68"/>
        <v>11</v>
      </c>
      <c r="AK273">
        <f t="shared" si="69"/>
        <v>10</v>
      </c>
      <c r="AL273">
        <f t="shared" si="70"/>
        <v>4</v>
      </c>
      <c r="AM273">
        <f t="shared" si="60"/>
        <v>2</v>
      </c>
      <c r="AN273">
        <f t="shared" si="71"/>
        <v>4</v>
      </c>
      <c r="AO273">
        <f t="shared" si="72"/>
        <v>2</v>
      </c>
      <c r="AP273">
        <f t="shared" si="73"/>
        <v>0</v>
      </c>
      <c r="AQ273">
        <f t="shared" si="61"/>
        <v>0</v>
      </c>
      <c r="AR273">
        <f t="shared" si="74"/>
        <v>0</v>
      </c>
    </row>
    <row r="274" spans="1:44" x14ac:dyDescent="0.25">
      <c r="A274" t="s">
        <v>318</v>
      </c>
      <c r="D274">
        <v>0</v>
      </c>
      <c r="I274" s="1"/>
      <c r="J274" s="1"/>
      <c r="K274" s="1">
        <v>0</v>
      </c>
      <c r="L274" s="1"/>
      <c r="M274" s="1" t="b">
        <v>0</v>
      </c>
      <c r="N274" s="1"/>
      <c r="O274">
        <v>0</v>
      </c>
      <c r="P274">
        <v>2</v>
      </c>
      <c r="Q274">
        <v>0</v>
      </c>
      <c r="R274" s="1">
        <f t="shared" si="62"/>
        <v>0</v>
      </c>
      <c r="S274" s="1">
        <f t="shared" si="63"/>
        <v>1</v>
      </c>
      <c r="T274" s="1">
        <f t="shared" si="64"/>
        <v>1</v>
      </c>
      <c r="U274" s="1">
        <f t="shared" si="65"/>
        <v>2</v>
      </c>
      <c r="V274" s="1">
        <f t="shared" si="66"/>
        <v>2</v>
      </c>
      <c r="W274" s="1" t="str">
        <f t="shared" si="67"/>
        <v>CS3</v>
      </c>
      <c r="X274" t="s">
        <v>149</v>
      </c>
      <c r="Y274" t="s">
        <v>149</v>
      </c>
      <c r="AA274" t="s">
        <v>304</v>
      </c>
      <c r="AB274">
        <v>3</v>
      </c>
      <c r="AJ274">
        <f t="shared" si="68"/>
        <v>10</v>
      </c>
      <c r="AK274">
        <f t="shared" si="69"/>
        <v>0</v>
      </c>
      <c r="AL274">
        <f t="shared" si="70"/>
        <v>2</v>
      </c>
      <c r="AM274">
        <f t="shared" si="60"/>
        <v>0</v>
      </c>
      <c r="AN274">
        <f t="shared" si="71"/>
        <v>2</v>
      </c>
      <c r="AO274">
        <f t="shared" si="72"/>
        <v>0</v>
      </c>
      <c r="AP274">
        <f t="shared" si="73"/>
        <v>0</v>
      </c>
      <c r="AQ274">
        <f t="shared" si="61"/>
        <v>0</v>
      </c>
      <c r="AR274">
        <f t="shared" si="74"/>
        <v>0</v>
      </c>
    </row>
    <row r="275" spans="1:44" x14ac:dyDescent="0.25">
      <c r="A275" t="s">
        <v>319</v>
      </c>
      <c r="C275" t="s">
        <v>6</v>
      </c>
      <c r="D275">
        <v>0</v>
      </c>
      <c r="G275" t="s">
        <v>2</v>
      </c>
      <c r="I275" s="1"/>
      <c r="J275" s="1" t="s">
        <v>6</v>
      </c>
      <c r="K275" s="1">
        <v>0</v>
      </c>
      <c r="L275" s="1"/>
      <c r="M275" s="1" t="b">
        <v>0</v>
      </c>
      <c r="N275" s="1"/>
      <c r="O275">
        <v>0</v>
      </c>
      <c r="P275">
        <v>2</v>
      </c>
      <c r="Q275">
        <v>2</v>
      </c>
      <c r="R275" s="1">
        <f t="shared" si="62"/>
        <v>0</v>
      </c>
      <c r="S275" s="1">
        <f t="shared" si="63"/>
        <v>1</v>
      </c>
      <c r="T275" s="1">
        <f t="shared" si="64"/>
        <v>1</v>
      </c>
      <c r="U275" s="1">
        <f t="shared" si="65"/>
        <v>2</v>
      </c>
      <c r="V275" s="1">
        <f t="shared" si="66"/>
        <v>4</v>
      </c>
      <c r="W275" s="1" t="str">
        <f t="shared" si="67"/>
        <v>CS3</v>
      </c>
      <c r="X275" t="s">
        <v>149</v>
      </c>
      <c r="Y275" t="s">
        <v>149</v>
      </c>
      <c r="AA275" t="s">
        <v>304</v>
      </c>
      <c r="AB275">
        <v>3</v>
      </c>
      <c r="AJ275">
        <f t="shared" si="68"/>
        <v>11</v>
      </c>
      <c r="AK275">
        <f t="shared" si="69"/>
        <v>10</v>
      </c>
      <c r="AL275">
        <f t="shared" si="70"/>
        <v>4</v>
      </c>
      <c r="AM275">
        <f t="shared" si="60"/>
        <v>2</v>
      </c>
      <c r="AN275">
        <f t="shared" si="71"/>
        <v>4</v>
      </c>
      <c r="AO275">
        <f t="shared" si="72"/>
        <v>2</v>
      </c>
      <c r="AP275">
        <f t="shared" si="73"/>
        <v>0</v>
      </c>
      <c r="AQ275">
        <f t="shared" si="61"/>
        <v>0</v>
      </c>
      <c r="AR275">
        <f t="shared" si="74"/>
        <v>0</v>
      </c>
    </row>
    <row r="276" spans="1:44" x14ac:dyDescent="0.25">
      <c r="A276" t="s">
        <v>320</v>
      </c>
      <c r="D276">
        <v>0</v>
      </c>
      <c r="I276" s="1"/>
      <c r="J276" s="1"/>
      <c r="K276" s="1">
        <v>0</v>
      </c>
      <c r="L276" s="1"/>
      <c r="M276" s="1" t="b">
        <v>0</v>
      </c>
      <c r="N276" s="1"/>
      <c r="O276">
        <v>0</v>
      </c>
      <c r="P276">
        <v>3</v>
      </c>
      <c r="Q276">
        <v>0</v>
      </c>
      <c r="R276" s="1">
        <f t="shared" si="62"/>
        <v>0</v>
      </c>
      <c r="S276" s="1">
        <f t="shared" si="63"/>
        <v>2</v>
      </c>
      <c r="T276" s="1">
        <f t="shared" si="64"/>
        <v>1</v>
      </c>
      <c r="U276" s="1">
        <f t="shared" si="65"/>
        <v>3</v>
      </c>
      <c r="V276" s="1">
        <f t="shared" si="66"/>
        <v>2</v>
      </c>
      <c r="W276" s="1" t="str">
        <f t="shared" si="67"/>
        <v>CS3</v>
      </c>
      <c r="X276" t="s">
        <v>149</v>
      </c>
      <c r="Y276" t="s">
        <v>149</v>
      </c>
      <c r="AA276" t="s">
        <v>304</v>
      </c>
      <c r="AB276">
        <v>3</v>
      </c>
      <c r="AJ276">
        <f t="shared" si="68"/>
        <v>10</v>
      </c>
      <c r="AK276">
        <f t="shared" si="69"/>
        <v>0</v>
      </c>
      <c r="AL276">
        <f t="shared" si="70"/>
        <v>2</v>
      </c>
      <c r="AM276">
        <f t="shared" si="60"/>
        <v>0</v>
      </c>
      <c r="AN276">
        <f t="shared" si="71"/>
        <v>2</v>
      </c>
      <c r="AO276">
        <f t="shared" si="72"/>
        <v>0</v>
      </c>
      <c r="AP276">
        <f t="shared" si="73"/>
        <v>0</v>
      </c>
      <c r="AQ276">
        <f t="shared" si="61"/>
        <v>0</v>
      </c>
      <c r="AR276">
        <f t="shared" si="74"/>
        <v>0</v>
      </c>
    </row>
    <row r="277" spans="1:44" x14ac:dyDescent="0.25">
      <c r="A277" t="s">
        <v>321</v>
      </c>
      <c r="D277">
        <v>0</v>
      </c>
      <c r="I277" s="1"/>
      <c r="J277" s="1" t="s">
        <v>5</v>
      </c>
      <c r="K277" s="1">
        <v>0</v>
      </c>
      <c r="L277" s="1"/>
      <c r="M277" s="1" t="b">
        <v>0</v>
      </c>
      <c r="N277" s="1"/>
      <c r="O277">
        <v>0</v>
      </c>
      <c r="P277">
        <v>3</v>
      </c>
      <c r="Q277">
        <v>0</v>
      </c>
      <c r="R277" s="1">
        <f t="shared" si="62"/>
        <v>0</v>
      </c>
      <c r="S277" s="1">
        <f t="shared" si="63"/>
        <v>2</v>
      </c>
      <c r="T277" s="1">
        <f t="shared" si="64"/>
        <v>1</v>
      </c>
      <c r="U277" s="1">
        <f t="shared" si="65"/>
        <v>3</v>
      </c>
      <c r="V277" s="1">
        <f t="shared" si="66"/>
        <v>4</v>
      </c>
      <c r="W277" s="1" t="str">
        <f t="shared" si="67"/>
        <v>CS3</v>
      </c>
      <c r="X277" t="s">
        <v>149</v>
      </c>
      <c r="Y277" t="s">
        <v>149</v>
      </c>
      <c r="AA277" t="s">
        <v>304</v>
      </c>
      <c r="AB277">
        <v>3</v>
      </c>
      <c r="AJ277">
        <f t="shared" si="68"/>
        <v>10</v>
      </c>
      <c r="AK277">
        <f t="shared" si="69"/>
        <v>0</v>
      </c>
      <c r="AL277">
        <f t="shared" si="70"/>
        <v>2</v>
      </c>
      <c r="AM277">
        <f t="shared" si="60"/>
        <v>0</v>
      </c>
      <c r="AN277">
        <f t="shared" si="71"/>
        <v>4</v>
      </c>
      <c r="AO277">
        <f t="shared" si="72"/>
        <v>0</v>
      </c>
      <c r="AP277">
        <f t="shared" si="73"/>
        <v>1</v>
      </c>
      <c r="AQ277">
        <f t="shared" si="61"/>
        <v>0</v>
      </c>
      <c r="AR277">
        <f t="shared" si="74"/>
        <v>1</v>
      </c>
    </row>
    <row r="278" spans="1:44" x14ac:dyDescent="0.25">
      <c r="A278" t="s">
        <v>322</v>
      </c>
      <c r="E278">
        <v>0</v>
      </c>
      <c r="I278" s="1"/>
      <c r="J278" s="1"/>
      <c r="K278" s="1"/>
      <c r="L278" s="1">
        <v>0</v>
      </c>
      <c r="M278" s="1" t="b">
        <v>0</v>
      </c>
      <c r="N278" s="1"/>
      <c r="O278">
        <v>0</v>
      </c>
      <c r="P278">
        <v>1</v>
      </c>
      <c r="Q278">
        <v>0</v>
      </c>
      <c r="R278" s="1">
        <f t="shared" si="62"/>
        <v>0</v>
      </c>
      <c r="S278" s="1">
        <f t="shared" si="63"/>
        <v>0</v>
      </c>
      <c r="T278" s="1">
        <f t="shared" si="64"/>
        <v>1</v>
      </c>
      <c r="U278" s="1">
        <f t="shared" si="65"/>
        <v>1</v>
      </c>
      <c r="V278" s="1">
        <f t="shared" si="66"/>
        <v>3</v>
      </c>
      <c r="W278" s="1" t="str">
        <f t="shared" si="67"/>
        <v>CS4</v>
      </c>
      <c r="X278" t="s">
        <v>149</v>
      </c>
      <c r="Y278" t="s">
        <v>149</v>
      </c>
      <c r="Z278" t="s">
        <v>304</v>
      </c>
      <c r="AA278" t="s">
        <v>323</v>
      </c>
      <c r="AB278">
        <v>4</v>
      </c>
      <c r="AJ278">
        <f t="shared" si="68"/>
        <v>100</v>
      </c>
      <c r="AK278">
        <f t="shared" si="69"/>
        <v>0</v>
      </c>
      <c r="AL278">
        <f t="shared" si="70"/>
        <v>3</v>
      </c>
      <c r="AM278">
        <f t="shared" si="60"/>
        <v>0</v>
      </c>
      <c r="AN278">
        <f t="shared" si="71"/>
        <v>3</v>
      </c>
      <c r="AO278">
        <f t="shared" si="72"/>
        <v>0</v>
      </c>
      <c r="AP278">
        <f t="shared" si="73"/>
        <v>0</v>
      </c>
      <c r="AQ278">
        <f t="shared" si="61"/>
        <v>0</v>
      </c>
      <c r="AR278">
        <f t="shared" si="74"/>
        <v>0</v>
      </c>
    </row>
    <row r="279" spans="1:44" x14ac:dyDescent="0.25">
      <c r="A279" t="s">
        <v>324</v>
      </c>
      <c r="C279" t="s">
        <v>6</v>
      </c>
      <c r="E279">
        <v>0</v>
      </c>
      <c r="G279" t="s">
        <v>2</v>
      </c>
      <c r="I279" s="1"/>
      <c r="J279" s="1" t="s">
        <v>6</v>
      </c>
      <c r="K279" s="1"/>
      <c r="L279" s="1">
        <v>0</v>
      </c>
      <c r="M279" s="1" t="b">
        <v>0</v>
      </c>
      <c r="N279" s="1"/>
      <c r="O279">
        <v>0</v>
      </c>
      <c r="P279">
        <v>1</v>
      </c>
      <c r="Q279">
        <v>2</v>
      </c>
      <c r="R279" s="1">
        <f t="shared" si="62"/>
        <v>0</v>
      </c>
      <c r="S279" s="1">
        <f t="shared" si="63"/>
        <v>0</v>
      </c>
      <c r="T279" s="1">
        <f t="shared" si="64"/>
        <v>1</v>
      </c>
      <c r="U279" s="1">
        <f t="shared" si="65"/>
        <v>1</v>
      </c>
      <c r="V279" s="1">
        <f t="shared" si="66"/>
        <v>5</v>
      </c>
      <c r="W279" s="1" t="str">
        <f t="shared" si="67"/>
        <v>CS4</v>
      </c>
      <c r="X279" t="s">
        <v>149</v>
      </c>
      <c r="Y279" t="s">
        <v>149</v>
      </c>
      <c r="Z279" t="s">
        <v>304</v>
      </c>
      <c r="AA279" t="s">
        <v>323</v>
      </c>
      <c r="AB279">
        <v>4</v>
      </c>
      <c r="AJ279">
        <f t="shared" si="68"/>
        <v>101</v>
      </c>
      <c r="AK279">
        <f t="shared" si="69"/>
        <v>10</v>
      </c>
      <c r="AL279">
        <f t="shared" si="70"/>
        <v>5</v>
      </c>
      <c r="AM279">
        <f t="shared" si="60"/>
        <v>2</v>
      </c>
      <c r="AN279">
        <f t="shared" si="71"/>
        <v>5</v>
      </c>
      <c r="AO279">
        <f t="shared" si="72"/>
        <v>2</v>
      </c>
      <c r="AP279">
        <f t="shared" si="73"/>
        <v>0</v>
      </c>
      <c r="AQ279">
        <f t="shared" si="61"/>
        <v>0</v>
      </c>
      <c r="AR279">
        <f t="shared" si="74"/>
        <v>0</v>
      </c>
    </row>
    <row r="280" spans="1:44" x14ac:dyDescent="0.25">
      <c r="A280" t="s">
        <v>325</v>
      </c>
      <c r="D280" t="s">
        <v>7</v>
      </c>
      <c r="E280">
        <v>0</v>
      </c>
      <c r="H280" t="s">
        <v>3</v>
      </c>
      <c r="I280" s="1"/>
      <c r="J280" s="1"/>
      <c r="K280" s="1" t="s">
        <v>7</v>
      </c>
      <c r="L280" s="1">
        <v>0</v>
      </c>
      <c r="M280" s="1" t="b">
        <v>0</v>
      </c>
      <c r="N280" s="1"/>
      <c r="O280">
        <v>0</v>
      </c>
      <c r="P280">
        <v>1</v>
      </c>
      <c r="Q280">
        <v>3</v>
      </c>
      <c r="R280" s="1">
        <f t="shared" si="62"/>
        <v>0</v>
      </c>
      <c r="S280" s="1">
        <f t="shared" si="63"/>
        <v>0</v>
      </c>
      <c r="T280" s="1">
        <f t="shared" si="64"/>
        <v>1</v>
      </c>
      <c r="U280" s="1">
        <f t="shared" si="65"/>
        <v>1</v>
      </c>
      <c r="V280" s="1">
        <f t="shared" si="66"/>
        <v>6</v>
      </c>
      <c r="W280" s="1" t="str">
        <f t="shared" si="67"/>
        <v>CS4</v>
      </c>
      <c r="X280" t="s">
        <v>149</v>
      </c>
      <c r="Y280" t="s">
        <v>149</v>
      </c>
      <c r="Z280" t="s">
        <v>304</v>
      </c>
      <c r="AA280" t="s">
        <v>323</v>
      </c>
      <c r="AB280">
        <v>4</v>
      </c>
      <c r="AJ280">
        <f t="shared" si="68"/>
        <v>110</v>
      </c>
      <c r="AK280">
        <f t="shared" si="69"/>
        <v>100</v>
      </c>
      <c r="AL280">
        <f t="shared" si="70"/>
        <v>6</v>
      </c>
      <c r="AM280">
        <f t="shared" si="60"/>
        <v>3</v>
      </c>
      <c r="AN280">
        <f t="shared" si="71"/>
        <v>6</v>
      </c>
      <c r="AO280">
        <f t="shared" si="72"/>
        <v>3</v>
      </c>
      <c r="AP280">
        <f t="shared" si="73"/>
        <v>0</v>
      </c>
      <c r="AQ280">
        <f t="shared" si="61"/>
        <v>0</v>
      </c>
      <c r="AR280">
        <f t="shared" si="74"/>
        <v>0</v>
      </c>
    </row>
    <row r="281" spans="1:44" x14ac:dyDescent="0.25">
      <c r="A281" t="s">
        <v>326</v>
      </c>
      <c r="C281" t="s">
        <v>6</v>
      </c>
      <c r="D281" t="s">
        <v>7</v>
      </c>
      <c r="E281">
        <v>0</v>
      </c>
      <c r="G281" t="s">
        <v>2</v>
      </c>
      <c r="H281" t="s">
        <v>3</v>
      </c>
      <c r="I281" s="1"/>
      <c r="J281" s="1" t="s">
        <v>6</v>
      </c>
      <c r="K281" s="1" t="s">
        <v>7</v>
      </c>
      <c r="L281" s="1">
        <v>0</v>
      </c>
      <c r="M281" s="1" t="b">
        <v>0</v>
      </c>
      <c r="N281" s="1"/>
      <c r="O281">
        <v>0</v>
      </c>
      <c r="P281">
        <v>1</v>
      </c>
      <c r="Q281">
        <v>6</v>
      </c>
      <c r="R281" s="1">
        <f t="shared" si="62"/>
        <v>0</v>
      </c>
      <c r="S281" s="1">
        <f t="shared" si="63"/>
        <v>0</v>
      </c>
      <c r="T281" s="1">
        <f t="shared" si="64"/>
        <v>1</v>
      </c>
      <c r="U281" s="1">
        <f t="shared" si="65"/>
        <v>1</v>
      </c>
      <c r="V281" s="1">
        <f t="shared" si="66"/>
        <v>7</v>
      </c>
      <c r="W281" s="1" t="str">
        <f t="shared" si="67"/>
        <v>CS4</v>
      </c>
      <c r="X281" t="s">
        <v>149</v>
      </c>
      <c r="Y281" t="s">
        <v>149</v>
      </c>
      <c r="Z281" t="s">
        <v>304</v>
      </c>
      <c r="AA281" t="s">
        <v>323</v>
      </c>
      <c r="AB281">
        <v>4</v>
      </c>
      <c r="AJ281">
        <f t="shared" si="68"/>
        <v>111</v>
      </c>
      <c r="AK281">
        <f t="shared" si="69"/>
        <v>110</v>
      </c>
      <c r="AL281">
        <f t="shared" si="70"/>
        <v>7</v>
      </c>
      <c r="AM281">
        <f t="shared" si="60"/>
        <v>6</v>
      </c>
      <c r="AN281">
        <f t="shared" si="71"/>
        <v>7</v>
      </c>
      <c r="AO281">
        <f t="shared" si="72"/>
        <v>6</v>
      </c>
      <c r="AP281">
        <f t="shared" si="73"/>
        <v>0</v>
      </c>
      <c r="AQ281">
        <f t="shared" si="61"/>
        <v>0</v>
      </c>
      <c r="AR281">
        <f t="shared" si="74"/>
        <v>0</v>
      </c>
    </row>
    <row r="282" spans="1:44" x14ac:dyDescent="0.25">
      <c r="A282" t="s">
        <v>327</v>
      </c>
      <c r="E282">
        <v>0</v>
      </c>
      <c r="I282" s="1"/>
      <c r="J282" s="1"/>
      <c r="K282" s="1"/>
      <c r="L282" s="1">
        <v>0</v>
      </c>
      <c r="M282" s="1" t="b">
        <v>0</v>
      </c>
      <c r="N282" s="1"/>
      <c r="O282">
        <v>0</v>
      </c>
      <c r="P282">
        <v>2</v>
      </c>
      <c r="Q282">
        <v>0</v>
      </c>
      <c r="R282" s="1">
        <f t="shared" si="62"/>
        <v>0</v>
      </c>
      <c r="S282" s="1">
        <f t="shared" si="63"/>
        <v>1</v>
      </c>
      <c r="T282" s="1">
        <f t="shared" si="64"/>
        <v>1</v>
      </c>
      <c r="U282" s="1">
        <f t="shared" si="65"/>
        <v>2</v>
      </c>
      <c r="V282" s="1">
        <f t="shared" si="66"/>
        <v>3</v>
      </c>
      <c r="W282" s="1" t="str">
        <f t="shared" si="67"/>
        <v>CS4</v>
      </c>
      <c r="X282" t="s">
        <v>149</v>
      </c>
      <c r="Y282" t="s">
        <v>149</v>
      </c>
      <c r="Z282" t="s">
        <v>304</v>
      </c>
      <c r="AA282" t="s">
        <v>323</v>
      </c>
      <c r="AB282">
        <v>4</v>
      </c>
      <c r="AJ282">
        <f t="shared" si="68"/>
        <v>100</v>
      </c>
      <c r="AK282">
        <f t="shared" si="69"/>
        <v>0</v>
      </c>
      <c r="AL282">
        <f t="shared" si="70"/>
        <v>3</v>
      </c>
      <c r="AM282">
        <f t="shared" si="60"/>
        <v>0</v>
      </c>
      <c r="AN282">
        <f t="shared" si="71"/>
        <v>3</v>
      </c>
      <c r="AO282">
        <f t="shared" si="72"/>
        <v>0</v>
      </c>
      <c r="AP282">
        <f t="shared" si="73"/>
        <v>0</v>
      </c>
      <c r="AQ282">
        <f t="shared" si="61"/>
        <v>0</v>
      </c>
      <c r="AR282">
        <f t="shared" si="74"/>
        <v>0</v>
      </c>
    </row>
    <row r="283" spans="1:44" x14ac:dyDescent="0.25">
      <c r="A283" t="s">
        <v>328</v>
      </c>
      <c r="C283" t="s">
        <v>6</v>
      </c>
      <c r="E283">
        <v>0</v>
      </c>
      <c r="G283" t="s">
        <v>2</v>
      </c>
      <c r="I283" s="1"/>
      <c r="J283" s="1" t="s">
        <v>6</v>
      </c>
      <c r="K283" s="1"/>
      <c r="L283" s="1">
        <v>0</v>
      </c>
      <c r="M283" s="1" t="b">
        <v>0</v>
      </c>
      <c r="N283" s="1"/>
      <c r="O283">
        <v>0</v>
      </c>
      <c r="P283">
        <v>2</v>
      </c>
      <c r="Q283">
        <v>2</v>
      </c>
      <c r="R283" s="1">
        <f t="shared" si="62"/>
        <v>0</v>
      </c>
      <c r="S283" s="1">
        <f t="shared" si="63"/>
        <v>1</v>
      </c>
      <c r="T283" s="1">
        <f t="shared" si="64"/>
        <v>1</v>
      </c>
      <c r="U283" s="1">
        <f t="shared" si="65"/>
        <v>2</v>
      </c>
      <c r="V283" s="1">
        <f t="shared" si="66"/>
        <v>5</v>
      </c>
      <c r="W283" s="1" t="str">
        <f t="shared" si="67"/>
        <v>CS4</v>
      </c>
      <c r="X283" t="s">
        <v>149</v>
      </c>
      <c r="Y283" t="s">
        <v>149</v>
      </c>
      <c r="Z283" t="s">
        <v>304</v>
      </c>
      <c r="AA283" t="s">
        <v>323</v>
      </c>
      <c r="AB283">
        <v>4</v>
      </c>
      <c r="AJ283">
        <f t="shared" si="68"/>
        <v>101</v>
      </c>
      <c r="AK283">
        <f t="shared" si="69"/>
        <v>10</v>
      </c>
      <c r="AL283">
        <f t="shared" si="70"/>
        <v>5</v>
      </c>
      <c r="AM283">
        <f t="shared" si="60"/>
        <v>2</v>
      </c>
      <c r="AN283">
        <f t="shared" si="71"/>
        <v>5</v>
      </c>
      <c r="AO283">
        <f t="shared" si="72"/>
        <v>2</v>
      </c>
      <c r="AP283">
        <f t="shared" si="73"/>
        <v>0</v>
      </c>
      <c r="AQ283">
        <f t="shared" si="61"/>
        <v>0</v>
      </c>
      <c r="AR283">
        <f t="shared" si="74"/>
        <v>0</v>
      </c>
    </row>
    <row r="284" spans="1:44" x14ac:dyDescent="0.25">
      <c r="A284" t="s">
        <v>329</v>
      </c>
      <c r="D284" t="s">
        <v>7</v>
      </c>
      <c r="E284">
        <v>0</v>
      </c>
      <c r="H284" t="s">
        <v>3</v>
      </c>
      <c r="I284" s="1"/>
      <c r="J284" s="1"/>
      <c r="K284" s="1" t="s">
        <v>7</v>
      </c>
      <c r="L284" s="1">
        <v>0</v>
      </c>
      <c r="M284" s="1" t="b">
        <v>0</v>
      </c>
      <c r="N284" s="1"/>
      <c r="O284">
        <v>0</v>
      </c>
      <c r="P284">
        <v>2</v>
      </c>
      <c r="Q284">
        <v>3</v>
      </c>
      <c r="R284" s="1">
        <f t="shared" si="62"/>
        <v>0</v>
      </c>
      <c r="S284" s="1">
        <f t="shared" si="63"/>
        <v>1</v>
      </c>
      <c r="T284" s="1">
        <f t="shared" si="64"/>
        <v>1</v>
      </c>
      <c r="U284" s="1">
        <f t="shared" si="65"/>
        <v>2</v>
      </c>
      <c r="V284" s="1">
        <f t="shared" si="66"/>
        <v>6</v>
      </c>
      <c r="W284" s="1" t="str">
        <f t="shared" si="67"/>
        <v>CS4</v>
      </c>
      <c r="X284" t="s">
        <v>149</v>
      </c>
      <c r="Y284" t="s">
        <v>149</v>
      </c>
      <c r="Z284" t="s">
        <v>304</v>
      </c>
      <c r="AA284" t="s">
        <v>323</v>
      </c>
      <c r="AB284">
        <v>4</v>
      </c>
      <c r="AJ284">
        <f t="shared" si="68"/>
        <v>110</v>
      </c>
      <c r="AK284">
        <f t="shared" si="69"/>
        <v>100</v>
      </c>
      <c r="AL284">
        <f t="shared" si="70"/>
        <v>6</v>
      </c>
      <c r="AM284">
        <f t="shared" si="60"/>
        <v>3</v>
      </c>
      <c r="AN284">
        <f t="shared" si="71"/>
        <v>6</v>
      </c>
      <c r="AO284">
        <f t="shared" si="72"/>
        <v>3</v>
      </c>
      <c r="AP284">
        <f t="shared" si="73"/>
        <v>0</v>
      </c>
      <c r="AQ284">
        <f t="shared" si="61"/>
        <v>0</v>
      </c>
      <c r="AR284">
        <f t="shared" si="74"/>
        <v>0</v>
      </c>
    </row>
    <row r="285" spans="1:44" x14ac:dyDescent="0.25">
      <c r="A285" t="s">
        <v>330</v>
      </c>
      <c r="C285" t="s">
        <v>6</v>
      </c>
      <c r="D285" t="s">
        <v>7</v>
      </c>
      <c r="E285">
        <v>0</v>
      </c>
      <c r="G285" t="s">
        <v>2</v>
      </c>
      <c r="H285" t="s">
        <v>3</v>
      </c>
      <c r="I285" s="1"/>
      <c r="J285" s="1" t="s">
        <v>6</v>
      </c>
      <c r="K285" s="1" t="s">
        <v>7</v>
      </c>
      <c r="L285" s="1">
        <v>0</v>
      </c>
      <c r="M285" s="1" t="b">
        <v>0</v>
      </c>
      <c r="N285" s="1"/>
      <c r="O285">
        <v>0</v>
      </c>
      <c r="P285">
        <v>2</v>
      </c>
      <c r="Q285">
        <v>6</v>
      </c>
      <c r="R285" s="1">
        <f t="shared" si="62"/>
        <v>0</v>
      </c>
      <c r="S285" s="1">
        <f t="shared" si="63"/>
        <v>1</v>
      </c>
      <c r="T285" s="1">
        <f t="shared" si="64"/>
        <v>1</v>
      </c>
      <c r="U285" s="1">
        <f t="shared" si="65"/>
        <v>2</v>
      </c>
      <c r="V285" s="1">
        <f t="shared" si="66"/>
        <v>7</v>
      </c>
      <c r="W285" s="1" t="str">
        <f t="shared" si="67"/>
        <v>CS4</v>
      </c>
      <c r="X285" t="s">
        <v>149</v>
      </c>
      <c r="Y285" t="s">
        <v>149</v>
      </c>
      <c r="Z285" t="s">
        <v>304</v>
      </c>
      <c r="AA285" t="s">
        <v>323</v>
      </c>
      <c r="AB285">
        <v>4</v>
      </c>
      <c r="AJ285">
        <f t="shared" si="68"/>
        <v>111</v>
      </c>
      <c r="AK285">
        <f t="shared" si="69"/>
        <v>110</v>
      </c>
      <c r="AL285">
        <f t="shared" si="70"/>
        <v>7</v>
      </c>
      <c r="AM285">
        <f t="shared" si="60"/>
        <v>6</v>
      </c>
      <c r="AN285">
        <f t="shared" si="71"/>
        <v>7</v>
      </c>
      <c r="AO285">
        <f t="shared" si="72"/>
        <v>6</v>
      </c>
      <c r="AP285">
        <f t="shared" si="73"/>
        <v>0</v>
      </c>
      <c r="AQ285">
        <f t="shared" si="61"/>
        <v>0</v>
      </c>
      <c r="AR285">
        <f t="shared" si="74"/>
        <v>0</v>
      </c>
    </row>
    <row r="286" spans="1:44" x14ac:dyDescent="0.25">
      <c r="A286" t="s">
        <v>331</v>
      </c>
      <c r="E286">
        <v>0</v>
      </c>
      <c r="I286" s="1"/>
      <c r="J286" s="1"/>
      <c r="K286" s="1"/>
      <c r="L286" s="1">
        <v>0</v>
      </c>
      <c r="M286" s="1" t="b">
        <v>0</v>
      </c>
      <c r="N286" s="1"/>
      <c r="O286">
        <v>0</v>
      </c>
      <c r="P286">
        <v>3</v>
      </c>
      <c r="Q286">
        <v>0</v>
      </c>
      <c r="R286" s="1">
        <f t="shared" si="62"/>
        <v>0</v>
      </c>
      <c r="S286" s="1">
        <f t="shared" si="63"/>
        <v>2</v>
      </c>
      <c r="T286" s="1">
        <f t="shared" si="64"/>
        <v>1</v>
      </c>
      <c r="U286" s="1">
        <f t="shared" si="65"/>
        <v>3</v>
      </c>
      <c r="V286" s="1">
        <f t="shared" si="66"/>
        <v>3</v>
      </c>
      <c r="W286" s="1" t="str">
        <f t="shared" si="67"/>
        <v>CS4</v>
      </c>
      <c r="X286" t="s">
        <v>149</v>
      </c>
      <c r="Y286" t="s">
        <v>149</v>
      </c>
      <c r="Z286" t="s">
        <v>304</v>
      </c>
      <c r="AA286" t="s">
        <v>323</v>
      </c>
      <c r="AB286">
        <v>4</v>
      </c>
      <c r="AJ286">
        <f t="shared" si="68"/>
        <v>100</v>
      </c>
      <c r="AK286">
        <f t="shared" si="69"/>
        <v>0</v>
      </c>
      <c r="AL286">
        <f t="shared" si="70"/>
        <v>3</v>
      </c>
      <c r="AM286">
        <f t="shared" si="60"/>
        <v>0</v>
      </c>
      <c r="AN286">
        <f t="shared" si="71"/>
        <v>3</v>
      </c>
      <c r="AO286">
        <f t="shared" si="72"/>
        <v>0</v>
      </c>
      <c r="AP286">
        <f t="shared" si="73"/>
        <v>0</v>
      </c>
      <c r="AQ286">
        <f t="shared" si="61"/>
        <v>0</v>
      </c>
      <c r="AR286">
        <f t="shared" si="74"/>
        <v>0</v>
      </c>
    </row>
    <row r="287" spans="1:44" x14ac:dyDescent="0.25">
      <c r="A287" t="s">
        <v>332</v>
      </c>
      <c r="E287">
        <v>0</v>
      </c>
      <c r="I287" s="1"/>
      <c r="J287" s="1" t="s">
        <v>5</v>
      </c>
      <c r="K287" s="1"/>
      <c r="L287" s="1">
        <v>0</v>
      </c>
      <c r="M287" s="1" t="b">
        <v>0</v>
      </c>
      <c r="N287" s="1"/>
      <c r="O287">
        <v>0</v>
      </c>
      <c r="P287">
        <v>3</v>
      </c>
      <c r="Q287">
        <v>0</v>
      </c>
      <c r="R287" s="1">
        <f t="shared" si="62"/>
        <v>0</v>
      </c>
      <c r="S287" s="1">
        <f t="shared" si="63"/>
        <v>2</v>
      </c>
      <c r="T287" s="1">
        <f t="shared" si="64"/>
        <v>1</v>
      </c>
      <c r="U287" s="1">
        <f t="shared" si="65"/>
        <v>3</v>
      </c>
      <c r="V287" s="1">
        <f t="shared" si="66"/>
        <v>5</v>
      </c>
      <c r="W287" s="1" t="str">
        <f t="shared" si="67"/>
        <v>CS4</v>
      </c>
      <c r="X287" t="s">
        <v>149</v>
      </c>
      <c r="Y287" t="s">
        <v>149</v>
      </c>
      <c r="Z287" t="s">
        <v>304</v>
      </c>
      <c r="AA287" t="s">
        <v>323</v>
      </c>
      <c r="AB287">
        <v>4</v>
      </c>
      <c r="AJ287">
        <f t="shared" si="68"/>
        <v>100</v>
      </c>
      <c r="AK287">
        <f t="shared" si="69"/>
        <v>0</v>
      </c>
      <c r="AL287">
        <f t="shared" si="70"/>
        <v>3</v>
      </c>
      <c r="AM287">
        <f t="shared" si="60"/>
        <v>0</v>
      </c>
      <c r="AN287">
        <f t="shared" si="71"/>
        <v>5</v>
      </c>
      <c r="AO287">
        <f t="shared" si="72"/>
        <v>0</v>
      </c>
      <c r="AP287">
        <f t="shared" si="73"/>
        <v>1</v>
      </c>
      <c r="AQ287">
        <f t="shared" si="61"/>
        <v>0</v>
      </c>
      <c r="AR287">
        <f t="shared" si="74"/>
        <v>1</v>
      </c>
    </row>
    <row r="288" spans="1:44" x14ac:dyDescent="0.25">
      <c r="A288" t="s">
        <v>333</v>
      </c>
      <c r="E288">
        <v>0</v>
      </c>
      <c r="I288" s="1"/>
      <c r="J288" s="1"/>
      <c r="K288" s="1" t="s">
        <v>6</v>
      </c>
      <c r="L288" s="1">
        <v>0</v>
      </c>
      <c r="M288" s="1" t="b">
        <v>0</v>
      </c>
      <c r="N288" s="1"/>
      <c r="O288">
        <v>0</v>
      </c>
      <c r="P288">
        <v>3</v>
      </c>
      <c r="Q288">
        <v>0</v>
      </c>
      <c r="R288" s="1">
        <f t="shared" si="62"/>
        <v>0</v>
      </c>
      <c r="S288" s="1">
        <f t="shared" si="63"/>
        <v>2</v>
      </c>
      <c r="T288" s="1">
        <f t="shared" si="64"/>
        <v>1</v>
      </c>
      <c r="U288" s="1">
        <f t="shared" si="65"/>
        <v>3</v>
      </c>
      <c r="V288" s="1">
        <f t="shared" si="66"/>
        <v>6</v>
      </c>
      <c r="W288" s="1" t="str">
        <f t="shared" si="67"/>
        <v>CS4</v>
      </c>
      <c r="X288" t="s">
        <v>149</v>
      </c>
      <c r="Y288" t="s">
        <v>149</v>
      </c>
      <c r="Z288" t="s">
        <v>304</v>
      </c>
      <c r="AA288" t="s">
        <v>323</v>
      </c>
      <c r="AB288">
        <v>4</v>
      </c>
      <c r="AJ288">
        <f t="shared" si="68"/>
        <v>100</v>
      </c>
      <c r="AK288">
        <f t="shared" si="69"/>
        <v>0</v>
      </c>
      <c r="AL288">
        <f t="shared" si="70"/>
        <v>3</v>
      </c>
      <c r="AM288">
        <f t="shared" si="60"/>
        <v>0</v>
      </c>
      <c r="AN288">
        <f t="shared" si="71"/>
        <v>6</v>
      </c>
      <c r="AO288">
        <f t="shared" si="72"/>
        <v>0</v>
      </c>
      <c r="AP288">
        <f t="shared" si="73"/>
        <v>1</v>
      </c>
      <c r="AQ288">
        <f t="shared" si="61"/>
        <v>0</v>
      </c>
      <c r="AR288">
        <f t="shared" si="74"/>
        <v>1</v>
      </c>
    </row>
    <row r="289" spans="1:44" x14ac:dyDescent="0.25">
      <c r="A289" t="s">
        <v>334</v>
      </c>
      <c r="E289">
        <v>0</v>
      </c>
      <c r="I289" s="1"/>
      <c r="J289" s="1" t="s">
        <v>5</v>
      </c>
      <c r="K289" s="1" t="s">
        <v>6</v>
      </c>
      <c r="L289" s="1">
        <v>0</v>
      </c>
      <c r="M289" s="1" t="b">
        <v>0</v>
      </c>
      <c r="N289" s="1"/>
      <c r="O289">
        <v>0</v>
      </c>
      <c r="P289">
        <v>3</v>
      </c>
      <c r="Q289">
        <v>0</v>
      </c>
      <c r="R289" s="1">
        <f t="shared" si="62"/>
        <v>0</v>
      </c>
      <c r="S289" s="1">
        <f t="shared" si="63"/>
        <v>2</v>
      </c>
      <c r="T289" s="1">
        <f t="shared" si="64"/>
        <v>1</v>
      </c>
      <c r="U289" s="1">
        <f t="shared" si="65"/>
        <v>3</v>
      </c>
      <c r="V289" s="1">
        <f t="shared" si="66"/>
        <v>7</v>
      </c>
      <c r="W289" s="1" t="str">
        <f t="shared" si="67"/>
        <v>CS4</v>
      </c>
      <c r="X289" t="s">
        <v>149</v>
      </c>
      <c r="Y289" t="s">
        <v>149</v>
      </c>
      <c r="Z289" t="s">
        <v>304</v>
      </c>
      <c r="AA289" t="s">
        <v>323</v>
      </c>
      <c r="AB289">
        <v>4</v>
      </c>
      <c r="AJ289">
        <f t="shared" si="68"/>
        <v>100</v>
      </c>
      <c r="AK289">
        <f t="shared" si="69"/>
        <v>0</v>
      </c>
      <c r="AL289">
        <f t="shared" si="70"/>
        <v>3</v>
      </c>
      <c r="AM289">
        <f t="shared" si="60"/>
        <v>0</v>
      </c>
      <c r="AN289">
        <f t="shared" si="71"/>
        <v>7</v>
      </c>
      <c r="AO289">
        <f t="shared" si="72"/>
        <v>0</v>
      </c>
      <c r="AP289">
        <f t="shared" si="73"/>
        <v>1</v>
      </c>
      <c r="AQ289">
        <f t="shared" si="61"/>
        <v>0</v>
      </c>
      <c r="AR289">
        <f t="shared" si="74"/>
        <v>1</v>
      </c>
    </row>
    <row r="290" spans="1:44" x14ac:dyDescent="0.25">
      <c r="A290" t="s">
        <v>335</v>
      </c>
      <c r="B290">
        <v>0</v>
      </c>
      <c r="C290" t="s">
        <v>5</v>
      </c>
      <c r="F290" t="s">
        <v>2</v>
      </c>
      <c r="I290" s="1">
        <v>0</v>
      </c>
      <c r="J290" s="1" t="s">
        <v>5</v>
      </c>
      <c r="K290" s="1"/>
      <c r="L290" s="1"/>
      <c r="M290" s="1" t="b">
        <v>0</v>
      </c>
      <c r="N290" s="1"/>
      <c r="O290">
        <v>0</v>
      </c>
      <c r="P290">
        <v>1</v>
      </c>
      <c r="Q290">
        <v>1</v>
      </c>
      <c r="R290" s="1">
        <f t="shared" si="62"/>
        <v>0</v>
      </c>
      <c r="S290" s="1">
        <f t="shared" si="63"/>
        <v>0</v>
      </c>
      <c r="T290" s="1">
        <f t="shared" si="64"/>
        <v>1</v>
      </c>
      <c r="U290" s="1">
        <f t="shared" si="65"/>
        <v>1</v>
      </c>
      <c r="V290" s="1">
        <f t="shared" si="66"/>
        <v>1</v>
      </c>
      <c r="W290" s="1" t="str">
        <f t="shared" si="67"/>
        <v>DFO</v>
      </c>
      <c r="X290" t="s">
        <v>39</v>
      </c>
      <c r="Y290" t="s">
        <v>149</v>
      </c>
      <c r="AJ290">
        <f t="shared" si="68"/>
        <v>1</v>
      </c>
      <c r="AK290">
        <f t="shared" si="69"/>
        <v>1</v>
      </c>
      <c r="AL290">
        <f t="shared" si="70"/>
        <v>1</v>
      </c>
      <c r="AM290">
        <f t="shared" si="60"/>
        <v>1</v>
      </c>
      <c r="AN290">
        <f t="shared" si="71"/>
        <v>1</v>
      </c>
      <c r="AO290">
        <f t="shared" si="72"/>
        <v>1</v>
      </c>
      <c r="AP290">
        <f t="shared" si="73"/>
        <v>0</v>
      </c>
      <c r="AQ290">
        <f t="shared" si="61"/>
        <v>0</v>
      </c>
      <c r="AR290">
        <f t="shared" si="74"/>
        <v>0</v>
      </c>
    </row>
    <row r="291" spans="1:44" x14ac:dyDescent="0.25">
      <c r="A291" t="s">
        <v>336</v>
      </c>
      <c r="B291">
        <v>0</v>
      </c>
      <c r="D291" t="s">
        <v>7</v>
      </c>
      <c r="H291" t="s">
        <v>3</v>
      </c>
      <c r="I291" s="1">
        <v>0</v>
      </c>
      <c r="J291" s="1"/>
      <c r="K291" s="1" t="s">
        <v>7</v>
      </c>
      <c r="L291" s="1"/>
      <c r="M291" s="1" t="b">
        <v>1</v>
      </c>
      <c r="N291" s="1"/>
      <c r="O291">
        <v>0</v>
      </c>
      <c r="P291">
        <v>1</v>
      </c>
      <c r="Q291">
        <v>3</v>
      </c>
      <c r="R291" s="1">
        <f t="shared" si="62"/>
        <v>0</v>
      </c>
      <c r="S291" s="1">
        <f t="shared" si="63"/>
        <v>0</v>
      </c>
      <c r="T291" s="1">
        <f t="shared" si="64"/>
        <v>1</v>
      </c>
      <c r="U291" s="1">
        <f t="shared" si="65"/>
        <v>1</v>
      </c>
      <c r="V291" s="1">
        <f t="shared" si="66"/>
        <v>2</v>
      </c>
      <c r="W291" s="1" t="str">
        <f t="shared" si="67"/>
        <v>DFO</v>
      </c>
      <c r="X291" t="s">
        <v>39</v>
      </c>
      <c r="Y291" t="s">
        <v>149</v>
      </c>
      <c r="Z291" t="s">
        <v>337</v>
      </c>
      <c r="AA291" t="s">
        <v>338</v>
      </c>
      <c r="AB291">
        <v>3</v>
      </c>
      <c r="AJ291">
        <f t="shared" si="68"/>
        <v>10</v>
      </c>
      <c r="AK291">
        <f t="shared" si="69"/>
        <v>100</v>
      </c>
      <c r="AL291">
        <f t="shared" si="70"/>
        <v>2</v>
      </c>
      <c r="AM291">
        <f t="shared" si="60"/>
        <v>3</v>
      </c>
      <c r="AN291">
        <f t="shared" si="71"/>
        <v>2</v>
      </c>
      <c r="AO291">
        <f t="shared" si="72"/>
        <v>3</v>
      </c>
      <c r="AP291">
        <f t="shared" si="73"/>
        <v>0</v>
      </c>
      <c r="AQ291">
        <f t="shared" si="61"/>
        <v>0</v>
      </c>
      <c r="AR291">
        <f t="shared" si="74"/>
        <v>0</v>
      </c>
    </row>
    <row r="292" spans="1:44" x14ac:dyDescent="0.25">
      <c r="A292" t="s">
        <v>339</v>
      </c>
      <c r="B292">
        <v>0</v>
      </c>
      <c r="E292" t="s">
        <v>43</v>
      </c>
      <c r="I292" s="1">
        <v>0</v>
      </c>
      <c r="J292" s="1"/>
      <c r="K292" s="1"/>
      <c r="L292" s="1" t="s">
        <v>43</v>
      </c>
      <c r="M292" s="1" t="b">
        <v>1</v>
      </c>
      <c r="N292" s="1"/>
      <c r="O292">
        <v>1</v>
      </c>
      <c r="P292">
        <v>1</v>
      </c>
      <c r="Q292">
        <v>0</v>
      </c>
      <c r="R292" s="1">
        <f t="shared" si="62"/>
        <v>1</v>
      </c>
      <c r="S292" s="1">
        <f t="shared" si="63"/>
        <v>0</v>
      </c>
      <c r="T292" s="1">
        <f t="shared" si="64"/>
        <v>1</v>
      </c>
      <c r="U292" s="1">
        <f t="shared" si="65"/>
        <v>1</v>
      </c>
      <c r="V292" s="1">
        <f t="shared" si="66"/>
        <v>3</v>
      </c>
      <c r="W292" s="1" t="str">
        <f t="shared" si="67"/>
        <v>DFO</v>
      </c>
      <c r="X292" t="s">
        <v>39</v>
      </c>
      <c r="Y292" t="s">
        <v>149</v>
      </c>
      <c r="AB292">
        <v>4</v>
      </c>
      <c r="AJ292">
        <f t="shared" si="68"/>
        <v>100</v>
      </c>
      <c r="AK292">
        <f t="shared" si="69"/>
        <v>0</v>
      </c>
      <c r="AL292">
        <f t="shared" si="70"/>
        <v>3</v>
      </c>
      <c r="AM292">
        <f t="shared" si="60"/>
        <v>0</v>
      </c>
      <c r="AN292">
        <f t="shared" si="71"/>
        <v>3</v>
      </c>
      <c r="AO292">
        <f t="shared" si="72"/>
        <v>0</v>
      </c>
      <c r="AP292">
        <f t="shared" si="73"/>
        <v>0</v>
      </c>
      <c r="AQ292">
        <f t="shared" si="61"/>
        <v>0</v>
      </c>
      <c r="AR292">
        <f t="shared" si="74"/>
        <v>0</v>
      </c>
    </row>
    <row r="293" spans="1:44" x14ac:dyDescent="0.25">
      <c r="A293" t="s">
        <v>340</v>
      </c>
      <c r="B293">
        <v>0</v>
      </c>
      <c r="C293" t="s">
        <v>5</v>
      </c>
      <c r="D293" t="s">
        <v>7</v>
      </c>
      <c r="F293" t="s">
        <v>2</v>
      </c>
      <c r="H293" t="s">
        <v>3</v>
      </c>
      <c r="I293" s="1">
        <v>0</v>
      </c>
      <c r="J293" s="1" t="s">
        <v>5</v>
      </c>
      <c r="K293" s="1" t="s">
        <v>7</v>
      </c>
      <c r="L293" s="1"/>
      <c r="M293" s="1" t="b">
        <v>1</v>
      </c>
      <c r="N293" s="1"/>
      <c r="O293">
        <v>0</v>
      </c>
      <c r="P293">
        <v>1</v>
      </c>
      <c r="Q293">
        <v>5</v>
      </c>
      <c r="R293" s="1">
        <f t="shared" si="62"/>
        <v>0</v>
      </c>
      <c r="S293" s="1">
        <f t="shared" si="63"/>
        <v>0</v>
      </c>
      <c r="T293" s="1">
        <f t="shared" si="64"/>
        <v>1</v>
      </c>
      <c r="U293" s="1">
        <f t="shared" si="65"/>
        <v>1</v>
      </c>
      <c r="V293" s="1">
        <f t="shared" si="66"/>
        <v>4</v>
      </c>
      <c r="W293" s="1" t="str">
        <f t="shared" si="67"/>
        <v>DFO</v>
      </c>
      <c r="X293" t="s">
        <v>39</v>
      </c>
      <c r="Y293" t="s">
        <v>149</v>
      </c>
      <c r="Z293" t="s">
        <v>337</v>
      </c>
      <c r="AA293" t="s">
        <v>338</v>
      </c>
      <c r="AB293">
        <v>3</v>
      </c>
      <c r="AJ293">
        <f t="shared" si="68"/>
        <v>11</v>
      </c>
      <c r="AK293">
        <f t="shared" si="69"/>
        <v>101</v>
      </c>
      <c r="AL293">
        <f t="shared" si="70"/>
        <v>4</v>
      </c>
      <c r="AM293">
        <f t="shared" si="60"/>
        <v>5</v>
      </c>
      <c r="AN293">
        <f t="shared" si="71"/>
        <v>4</v>
      </c>
      <c r="AO293">
        <f t="shared" si="72"/>
        <v>5</v>
      </c>
      <c r="AP293">
        <f t="shared" si="73"/>
        <v>0</v>
      </c>
      <c r="AQ293">
        <f t="shared" si="61"/>
        <v>0</v>
      </c>
      <c r="AR293">
        <f t="shared" si="74"/>
        <v>0</v>
      </c>
    </row>
    <row r="294" spans="1:44" x14ac:dyDescent="0.25">
      <c r="A294" t="s">
        <v>341</v>
      </c>
      <c r="B294">
        <v>0</v>
      </c>
      <c r="C294" t="s">
        <v>5</v>
      </c>
      <c r="E294" t="s">
        <v>43</v>
      </c>
      <c r="F294" t="s">
        <v>2</v>
      </c>
      <c r="I294" s="1">
        <v>0</v>
      </c>
      <c r="J294" s="1" t="s">
        <v>5</v>
      </c>
      <c r="K294" s="1"/>
      <c r="L294" s="1" t="s">
        <v>43</v>
      </c>
      <c r="M294" s="1" t="b">
        <v>1</v>
      </c>
      <c r="N294" s="1"/>
      <c r="O294">
        <v>1</v>
      </c>
      <c r="P294">
        <v>1</v>
      </c>
      <c r="Q294">
        <v>1</v>
      </c>
      <c r="R294" s="1">
        <f t="shared" si="62"/>
        <v>1</v>
      </c>
      <c r="S294" s="1">
        <f t="shared" si="63"/>
        <v>0</v>
      </c>
      <c r="T294" s="1">
        <f t="shared" si="64"/>
        <v>1</v>
      </c>
      <c r="U294" s="1">
        <f t="shared" si="65"/>
        <v>1</v>
      </c>
      <c r="V294" s="1">
        <f t="shared" si="66"/>
        <v>5</v>
      </c>
      <c r="W294" s="1" t="str">
        <f t="shared" si="67"/>
        <v>DFO</v>
      </c>
      <c r="X294" t="s">
        <v>39</v>
      </c>
      <c r="Y294" t="s">
        <v>149</v>
      </c>
      <c r="AB294">
        <v>4</v>
      </c>
      <c r="AJ294">
        <f t="shared" si="68"/>
        <v>101</v>
      </c>
      <c r="AK294">
        <f t="shared" si="69"/>
        <v>1</v>
      </c>
      <c r="AL294">
        <f t="shared" si="70"/>
        <v>5</v>
      </c>
      <c r="AM294">
        <f t="shared" si="60"/>
        <v>1</v>
      </c>
      <c r="AN294">
        <f t="shared" si="71"/>
        <v>5</v>
      </c>
      <c r="AO294">
        <f t="shared" si="72"/>
        <v>1</v>
      </c>
      <c r="AP294">
        <f t="shared" si="73"/>
        <v>0</v>
      </c>
      <c r="AQ294">
        <f t="shared" si="61"/>
        <v>0</v>
      </c>
      <c r="AR294">
        <f t="shared" si="74"/>
        <v>0</v>
      </c>
    </row>
    <row r="295" spans="1:44" x14ac:dyDescent="0.25">
      <c r="A295" t="s">
        <v>342</v>
      </c>
      <c r="B295">
        <v>0</v>
      </c>
      <c r="D295" t="s">
        <v>7</v>
      </c>
      <c r="E295" t="s">
        <v>43</v>
      </c>
      <c r="H295" t="s">
        <v>3</v>
      </c>
      <c r="I295" s="1">
        <v>0</v>
      </c>
      <c r="J295" s="1"/>
      <c r="K295" s="1" t="s">
        <v>7</v>
      </c>
      <c r="L295" s="1" t="s">
        <v>43</v>
      </c>
      <c r="M295" s="1" t="b">
        <v>1</v>
      </c>
      <c r="N295" s="1"/>
      <c r="O295">
        <v>1</v>
      </c>
      <c r="P295">
        <v>1</v>
      </c>
      <c r="Q295">
        <v>3</v>
      </c>
      <c r="R295" s="1">
        <f t="shared" si="62"/>
        <v>1</v>
      </c>
      <c r="S295" s="1">
        <f t="shared" si="63"/>
        <v>0</v>
      </c>
      <c r="T295" s="1">
        <f t="shared" si="64"/>
        <v>1</v>
      </c>
      <c r="U295" s="1">
        <f t="shared" si="65"/>
        <v>1</v>
      </c>
      <c r="V295" s="1">
        <f t="shared" si="66"/>
        <v>6</v>
      </c>
      <c r="W295" s="1" t="str">
        <f t="shared" si="67"/>
        <v>DFO</v>
      </c>
      <c r="X295" t="s">
        <v>39</v>
      </c>
      <c r="Y295" t="s">
        <v>149</v>
      </c>
      <c r="AB295">
        <v>4</v>
      </c>
      <c r="AJ295">
        <f t="shared" si="68"/>
        <v>110</v>
      </c>
      <c r="AK295">
        <f t="shared" si="69"/>
        <v>100</v>
      </c>
      <c r="AL295">
        <f t="shared" si="70"/>
        <v>6</v>
      </c>
      <c r="AM295">
        <f t="shared" si="60"/>
        <v>3</v>
      </c>
      <c r="AN295">
        <f t="shared" si="71"/>
        <v>6</v>
      </c>
      <c r="AO295">
        <f t="shared" si="72"/>
        <v>3</v>
      </c>
      <c r="AP295">
        <f t="shared" si="73"/>
        <v>0</v>
      </c>
      <c r="AQ295">
        <f t="shared" si="61"/>
        <v>0</v>
      </c>
      <c r="AR295">
        <f t="shared" si="74"/>
        <v>0</v>
      </c>
    </row>
    <row r="296" spans="1:44" x14ac:dyDescent="0.25">
      <c r="A296" t="s">
        <v>343</v>
      </c>
      <c r="B296">
        <v>0</v>
      </c>
      <c r="C296" t="s">
        <v>5</v>
      </c>
      <c r="D296" t="s">
        <v>7</v>
      </c>
      <c r="E296" t="s">
        <v>43</v>
      </c>
      <c r="F296" t="s">
        <v>2</v>
      </c>
      <c r="H296" t="s">
        <v>3</v>
      </c>
      <c r="I296" s="1">
        <v>0</v>
      </c>
      <c r="J296" s="1" t="s">
        <v>5</v>
      </c>
      <c r="K296" s="1" t="s">
        <v>7</v>
      </c>
      <c r="L296" s="1" t="s">
        <v>43</v>
      </c>
      <c r="M296" s="1" t="b">
        <v>1</v>
      </c>
      <c r="N296" s="1"/>
      <c r="O296">
        <v>1</v>
      </c>
      <c r="P296">
        <v>1</v>
      </c>
      <c r="Q296">
        <v>5</v>
      </c>
      <c r="R296" s="1">
        <f t="shared" si="62"/>
        <v>1</v>
      </c>
      <c r="S296" s="1">
        <f t="shared" si="63"/>
        <v>0</v>
      </c>
      <c r="T296" s="1">
        <f t="shared" si="64"/>
        <v>1</v>
      </c>
      <c r="U296" s="1">
        <f t="shared" si="65"/>
        <v>1</v>
      </c>
      <c r="V296" s="1">
        <f t="shared" si="66"/>
        <v>7</v>
      </c>
      <c r="W296" s="1" t="str">
        <f t="shared" si="67"/>
        <v>DFO</v>
      </c>
      <c r="X296" t="s">
        <v>39</v>
      </c>
      <c r="Y296" t="s">
        <v>149</v>
      </c>
      <c r="AB296">
        <v>4</v>
      </c>
      <c r="AJ296">
        <f t="shared" si="68"/>
        <v>111</v>
      </c>
      <c r="AK296">
        <f t="shared" si="69"/>
        <v>101</v>
      </c>
      <c r="AL296">
        <f t="shared" si="70"/>
        <v>7</v>
      </c>
      <c r="AM296">
        <f t="shared" si="60"/>
        <v>5</v>
      </c>
      <c r="AN296">
        <f t="shared" si="71"/>
        <v>7</v>
      </c>
      <c r="AO296">
        <f t="shared" si="72"/>
        <v>5</v>
      </c>
      <c r="AP296">
        <f t="shared" si="73"/>
        <v>0</v>
      </c>
      <c r="AQ296">
        <f t="shared" si="61"/>
        <v>0</v>
      </c>
      <c r="AR296">
        <f t="shared" si="74"/>
        <v>0</v>
      </c>
    </row>
    <row r="297" spans="1:44" x14ac:dyDescent="0.25">
      <c r="A297" t="s">
        <v>344</v>
      </c>
      <c r="B297">
        <v>0</v>
      </c>
      <c r="C297" t="s">
        <v>5</v>
      </c>
      <c r="F297" t="s">
        <v>2</v>
      </c>
      <c r="I297" s="1">
        <v>0</v>
      </c>
      <c r="J297" s="1" t="s">
        <v>5</v>
      </c>
      <c r="K297" s="1"/>
      <c r="L297" s="1"/>
      <c r="M297" s="1" t="b">
        <v>0</v>
      </c>
      <c r="N297" s="1"/>
      <c r="O297">
        <v>0</v>
      </c>
      <c r="P297">
        <v>2</v>
      </c>
      <c r="Q297">
        <v>1</v>
      </c>
      <c r="R297" s="1">
        <f t="shared" si="62"/>
        <v>0</v>
      </c>
      <c r="S297" s="1">
        <f t="shared" si="63"/>
        <v>1</v>
      </c>
      <c r="T297" s="1">
        <f t="shared" si="64"/>
        <v>1</v>
      </c>
      <c r="U297" s="1">
        <f t="shared" si="65"/>
        <v>2</v>
      </c>
      <c r="V297" s="1">
        <f t="shared" si="66"/>
        <v>1</v>
      </c>
      <c r="W297" s="1" t="str">
        <f t="shared" si="67"/>
        <v>DFO</v>
      </c>
      <c r="X297" t="s">
        <v>39</v>
      </c>
      <c r="Y297" t="s">
        <v>149</v>
      </c>
      <c r="AJ297">
        <f t="shared" si="68"/>
        <v>1</v>
      </c>
      <c r="AK297">
        <f t="shared" si="69"/>
        <v>1</v>
      </c>
      <c r="AL297">
        <f t="shared" si="70"/>
        <v>1</v>
      </c>
      <c r="AM297">
        <f t="shared" si="60"/>
        <v>1</v>
      </c>
      <c r="AN297">
        <f t="shared" si="71"/>
        <v>1</v>
      </c>
      <c r="AO297">
        <f t="shared" si="72"/>
        <v>1</v>
      </c>
      <c r="AP297">
        <f t="shared" si="73"/>
        <v>0</v>
      </c>
      <c r="AQ297">
        <f t="shared" si="61"/>
        <v>0</v>
      </c>
      <c r="AR297">
        <f t="shared" si="74"/>
        <v>0</v>
      </c>
    </row>
    <row r="298" spans="1:44" x14ac:dyDescent="0.25">
      <c r="A298" t="s">
        <v>345</v>
      </c>
      <c r="B298">
        <v>0</v>
      </c>
      <c r="D298" t="s">
        <v>7</v>
      </c>
      <c r="H298" t="s">
        <v>3</v>
      </c>
      <c r="I298" s="1">
        <v>0</v>
      </c>
      <c r="J298" s="1"/>
      <c r="K298" s="1" t="s">
        <v>7</v>
      </c>
      <c r="L298" s="1"/>
      <c r="M298" s="1" t="b">
        <v>1</v>
      </c>
      <c r="N298" s="1"/>
      <c r="O298">
        <v>0</v>
      </c>
      <c r="P298">
        <v>2</v>
      </c>
      <c r="Q298">
        <v>3</v>
      </c>
      <c r="R298" s="1">
        <f t="shared" si="62"/>
        <v>0</v>
      </c>
      <c r="S298" s="1">
        <f t="shared" si="63"/>
        <v>1</v>
      </c>
      <c r="T298" s="1">
        <f t="shared" si="64"/>
        <v>1</v>
      </c>
      <c r="U298" s="1">
        <f t="shared" si="65"/>
        <v>2</v>
      </c>
      <c r="V298" s="1">
        <f t="shared" si="66"/>
        <v>2</v>
      </c>
      <c r="W298" s="1" t="str">
        <f t="shared" si="67"/>
        <v>DFO</v>
      </c>
      <c r="X298" t="s">
        <v>39</v>
      </c>
      <c r="Y298" t="s">
        <v>149</v>
      </c>
      <c r="Z298" t="s">
        <v>337</v>
      </c>
      <c r="AA298" t="s">
        <v>338</v>
      </c>
      <c r="AB298">
        <v>3</v>
      </c>
      <c r="AJ298">
        <f t="shared" si="68"/>
        <v>10</v>
      </c>
      <c r="AK298">
        <f t="shared" si="69"/>
        <v>100</v>
      </c>
      <c r="AL298">
        <f t="shared" si="70"/>
        <v>2</v>
      </c>
      <c r="AM298">
        <f t="shared" si="60"/>
        <v>3</v>
      </c>
      <c r="AN298">
        <f t="shared" si="71"/>
        <v>2</v>
      </c>
      <c r="AO298">
        <f t="shared" si="72"/>
        <v>3</v>
      </c>
      <c r="AP298">
        <f t="shared" si="73"/>
        <v>0</v>
      </c>
      <c r="AQ298">
        <f t="shared" si="61"/>
        <v>0</v>
      </c>
      <c r="AR298">
        <f t="shared" si="74"/>
        <v>0</v>
      </c>
    </row>
    <row r="299" spans="1:44" x14ac:dyDescent="0.25">
      <c r="A299" t="s">
        <v>346</v>
      </c>
      <c r="B299">
        <v>0</v>
      </c>
      <c r="E299" t="s">
        <v>43</v>
      </c>
      <c r="I299" s="1">
        <v>0</v>
      </c>
      <c r="J299" s="1"/>
      <c r="K299" s="1"/>
      <c r="L299" s="1" t="s">
        <v>43</v>
      </c>
      <c r="M299" s="1" t="b">
        <v>1</v>
      </c>
      <c r="N299" s="1"/>
      <c r="O299">
        <v>1</v>
      </c>
      <c r="P299">
        <v>2</v>
      </c>
      <c r="Q299">
        <v>0</v>
      </c>
      <c r="R299" s="1">
        <f t="shared" si="62"/>
        <v>1</v>
      </c>
      <c r="S299" s="1">
        <f t="shared" si="63"/>
        <v>1</v>
      </c>
      <c r="T299" s="1">
        <f t="shared" si="64"/>
        <v>1</v>
      </c>
      <c r="U299" s="1">
        <f t="shared" si="65"/>
        <v>2</v>
      </c>
      <c r="V299" s="1">
        <f t="shared" si="66"/>
        <v>3</v>
      </c>
      <c r="W299" s="1" t="str">
        <f t="shared" si="67"/>
        <v>DFO</v>
      </c>
      <c r="X299" t="s">
        <v>39</v>
      </c>
      <c r="Y299" t="s">
        <v>149</v>
      </c>
      <c r="AB299">
        <v>4</v>
      </c>
      <c r="AJ299">
        <f t="shared" si="68"/>
        <v>100</v>
      </c>
      <c r="AK299">
        <f t="shared" si="69"/>
        <v>0</v>
      </c>
      <c r="AL299">
        <f t="shared" si="70"/>
        <v>3</v>
      </c>
      <c r="AM299">
        <f t="shared" si="60"/>
        <v>0</v>
      </c>
      <c r="AN299">
        <f t="shared" si="71"/>
        <v>3</v>
      </c>
      <c r="AO299">
        <f t="shared" si="72"/>
        <v>0</v>
      </c>
      <c r="AP299">
        <f t="shared" si="73"/>
        <v>0</v>
      </c>
      <c r="AQ299">
        <f t="shared" si="61"/>
        <v>0</v>
      </c>
      <c r="AR299">
        <f t="shared" si="74"/>
        <v>0</v>
      </c>
    </row>
    <row r="300" spans="1:44" x14ac:dyDescent="0.25">
      <c r="A300" t="s">
        <v>347</v>
      </c>
      <c r="B300">
        <v>0</v>
      </c>
      <c r="C300" t="s">
        <v>5</v>
      </c>
      <c r="D300" t="s">
        <v>7</v>
      </c>
      <c r="F300" t="s">
        <v>2</v>
      </c>
      <c r="H300" t="s">
        <v>3</v>
      </c>
      <c r="I300" s="1">
        <v>0</v>
      </c>
      <c r="J300" s="1" t="s">
        <v>5</v>
      </c>
      <c r="K300" s="1" t="s">
        <v>7</v>
      </c>
      <c r="L300" s="1"/>
      <c r="M300" s="1" t="b">
        <v>1</v>
      </c>
      <c r="N300" s="1"/>
      <c r="O300">
        <v>0</v>
      </c>
      <c r="P300">
        <v>2</v>
      </c>
      <c r="Q300">
        <v>5</v>
      </c>
      <c r="R300" s="1">
        <f t="shared" si="62"/>
        <v>0</v>
      </c>
      <c r="S300" s="1">
        <f t="shared" si="63"/>
        <v>1</v>
      </c>
      <c r="T300" s="1">
        <f t="shared" si="64"/>
        <v>1</v>
      </c>
      <c r="U300" s="1">
        <f t="shared" si="65"/>
        <v>2</v>
      </c>
      <c r="V300" s="1">
        <f t="shared" si="66"/>
        <v>4</v>
      </c>
      <c r="W300" s="1" t="str">
        <f t="shared" si="67"/>
        <v>DFO</v>
      </c>
      <c r="X300" t="s">
        <v>39</v>
      </c>
      <c r="Y300" t="s">
        <v>149</v>
      </c>
      <c r="Z300" t="s">
        <v>337</v>
      </c>
      <c r="AA300" t="s">
        <v>338</v>
      </c>
      <c r="AB300">
        <v>3</v>
      </c>
      <c r="AJ300">
        <f t="shared" si="68"/>
        <v>11</v>
      </c>
      <c r="AK300">
        <f t="shared" si="69"/>
        <v>101</v>
      </c>
      <c r="AL300">
        <f t="shared" si="70"/>
        <v>4</v>
      </c>
      <c r="AM300">
        <f t="shared" si="60"/>
        <v>5</v>
      </c>
      <c r="AN300">
        <f t="shared" si="71"/>
        <v>4</v>
      </c>
      <c r="AO300">
        <f t="shared" si="72"/>
        <v>5</v>
      </c>
      <c r="AP300">
        <f t="shared" si="73"/>
        <v>0</v>
      </c>
      <c r="AQ300">
        <f t="shared" si="61"/>
        <v>0</v>
      </c>
      <c r="AR300">
        <f t="shared" si="74"/>
        <v>0</v>
      </c>
    </row>
    <row r="301" spans="1:44" x14ac:dyDescent="0.25">
      <c r="A301" t="s">
        <v>348</v>
      </c>
      <c r="B301">
        <v>0</v>
      </c>
      <c r="C301" t="s">
        <v>5</v>
      </c>
      <c r="E301" t="s">
        <v>43</v>
      </c>
      <c r="F301" t="s">
        <v>2</v>
      </c>
      <c r="I301" s="1">
        <v>0</v>
      </c>
      <c r="J301" s="1" t="s">
        <v>5</v>
      </c>
      <c r="K301" s="1"/>
      <c r="L301" s="1" t="s">
        <v>43</v>
      </c>
      <c r="M301" s="1" t="b">
        <v>1</v>
      </c>
      <c r="N301" s="1"/>
      <c r="O301">
        <v>1</v>
      </c>
      <c r="P301">
        <v>2</v>
      </c>
      <c r="Q301">
        <v>1</v>
      </c>
      <c r="R301" s="1">
        <f t="shared" si="62"/>
        <v>1</v>
      </c>
      <c r="S301" s="1">
        <f t="shared" si="63"/>
        <v>1</v>
      </c>
      <c r="T301" s="1">
        <f t="shared" si="64"/>
        <v>1</v>
      </c>
      <c r="U301" s="1">
        <f t="shared" si="65"/>
        <v>2</v>
      </c>
      <c r="V301" s="1">
        <f t="shared" si="66"/>
        <v>5</v>
      </c>
      <c r="W301" s="1" t="str">
        <f t="shared" si="67"/>
        <v>DFO</v>
      </c>
      <c r="X301" t="s">
        <v>39</v>
      </c>
      <c r="Y301" t="s">
        <v>149</v>
      </c>
      <c r="AB301">
        <v>4</v>
      </c>
      <c r="AJ301">
        <f t="shared" si="68"/>
        <v>101</v>
      </c>
      <c r="AK301">
        <f t="shared" si="69"/>
        <v>1</v>
      </c>
      <c r="AL301">
        <f t="shared" si="70"/>
        <v>5</v>
      </c>
      <c r="AM301">
        <f t="shared" si="60"/>
        <v>1</v>
      </c>
      <c r="AN301">
        <f t="shared" si="71"/>
        <v>5</v>
      </c>
      <c r="AO301">
        <f t="shared" si="72"/>
        <v>1</v>
      </c>
      <c r="AP301">
        <f t="shared" si="73"/>
        <v>0</v>
      </c>
      <c r="AQ301">
        <f t="shared" si="61"/>
        <v>0</v>
      </c>
      <c r="AR301">
        <f t="shared" si="74"/>
        <v>0</v>
      </c>
    </row>
    <row r="302" spans="1:44" x14ac:dyDescent="0.25">
      <c r="A302" t="s">
        <v>349</v>
      </c>
      <c r="B302">
        <v>0</v>
      </c>
      <c r="D302" t="s">
        <v>7</v>
      </c>
      <c r="E302" t="s">
        <v>43</v>
      </c>
      <c r="H302" t="s">
        <v>3</v>
      </c>
      <c r="I302" s="1">
        <v>0</v>
      </c>
      <c r="J302" s="1"/>
      <c r="K302" s="1" t="s">
        <v>7</v>
      </c>
      <c r="L302" s="1" t="s">
        <v>43</v>
      </c>
      <c r="M302" s="1" t="b">
        <v>1</v>
      </c>
      <c r="N302" s="1"/>
      <c r="O302">
        <v>1</v>
      </c>
      <c r="P302">
        <v>2</v>
      </c>
      <c r="Q302">
        <v>3</v>
      </c>
      <c r="R302" s="1">
        <f t="shared" si="62"/>
        <v>1</v>
      </c>
      <c r="S302" s="1">
        <f t="shared" si="63"/>
        <v>1</v>
      </c>
      <c r="T302" s="1">
        <f t="shared" si="64"/>
        <v>1</v>
      </c>
      <c r="U302" s="1">
        <f t="shared" si="65"/>
        <v>2</v>
      </c>
      <c r="V302" s="1">
        <f t="shared" si="66"/>
        <v>6</v>
      </c>
      <c r="W302" s="1" t="str">
        <f t="shared" si="67"/>
        <v>DFO</v>
      </c>
      <c r="X302" t="s">
        <v>39</v>
      </c>
      <c r="Y302" t="s">
        <v>149</v>
      </c>
      <c r="AB302">
        <v>4</v>
      </c>
      <c r="AJ302">
        <f t="shared" si="68"/>
        <v>110</v>
      </c>
      <c r="AK302">
        <f t="shared" si="69"/>
        <v>100</v>
      </c>
      <c r="AL302">
        <f t="shared" si="70"/>
        <v>6</v>
      </c>
      <c r="AM302">
        <f t="shared" si="60"/>
        <v>3</v>
      </c>
      <c r="AN302">
        <f t="shared" si="71"/>
        <v>6</v>
      </c>
      <c r="AO302">
        <f t="shared" si="72"/>
        <v>3</v>
      </c>
      <c r="AP302">
        <f t="shared" si="73"/>
        <v>0</v>
      </c>
      <c r="AQ302">
        <f t="shared" si="61"/>
        <v>0</v>
      </c>
      <c r="AR302">
        <f t="shared" si="74"/>
        <v>0</v>
      </c>
    </row>
    <row r="303" spans="1:44" x14ac:dyDescent="0.25">
      <c r="A303" t="s">
        <v>350</v>
      </c>
      <c r="B303">
        <v>0</v>
      </c>
      <c r="C303" t="s">
        <v>5</v>
      </c>
      <c r="D303" t="s">
        <v>7</v>
      </c>
      <c r="E303" t="s">
        <v>43</v>
      </c>
      <c r="F303" t="s">
        <v>2</v>
      </c>
      <c r="H303" t="s">
        <v>3</v>
      </c>
      <c r="I303" s="1">
        <v>0</v>
      </c>
      <c r="J303" s="1" t="s">
        <v>5</v>
      </c>
      <c r="K303" s="1" t="s">
        <v>7</v>
      </c>
      <c r="L303" s="1" t="s">
        <v>43</v>
      </c>
      <c r="M303" s="1" t="b">
        <v>1</v>
      </c>
      <c r="N303" s="1"/>
      <c r="O303">
        <v>1</v>
      </c>
      <c r="P303">
        <v>2</v>
      </c>
      <c r="Q303">
        <v>5</v>
      </c>
      <c r="R303" s="1">
        <f t="shared" si="62"/>
        <v>1</v>
      </c>
      <c r="S303" s="1">
        <f t="shared" si="63"/>
        <v>1</v>
      </c>
      <c r="T303" s="1">
        <f t="shared" si="64"/>
        <v>1</v>
      </c>
      <c r="U303" s="1">
        <f t="shared" si="65"/>
        <v>2</v>
      </c>
      <c r="V303" s="1">
        <f t="shared" si="66"/>
        <v>7</v>
      </c>
      <c r="W303" s="1" t="str">
        <f t="shared" si="67"/>
        <v>DFO</v>
      </c>
      <c r="X303" t="s">
        <v>39</v>
      </c>
      <c r="Y303" t="s">
        <v>149</v>
      </c>
      <c r="AB303">
        <v>4</v>
      </c>
      <c r="AJ303">
        <f t="shared" si="68"/>
        <v>111</v>
      </c>
      <c r="AK303">
        <f t="shared" si="69"/>
        <v>101</v>
      </c>
      <c r="AL303">
        <f t="shared" si="70"/>
        <v>7</v>
      </c>
      <c r="AM303">
        <f t="shared" si="60"/>
        <v>5</v>
      </c>
      <c r="AN303">
        <f t="shared" si="71"/>
        <v>7</v>
      </c>
      <c r="AO303">
        <f t="shared" si="72"/>
        <v>5</v>
      </c>
      <c r="AP303">
        <f t="shared" si="73"/>
        <v>0</v>
      </c>
      <c r="AQ303">
        <f t="shared" si="61"/>
        <v>0</v>
      </c>
      <c r="AR303">
        <f t="shared" si="74"/>
        <v>0</v>
      </c>
    </row>
    <row r="304" spans="1:44" x14ac:dyDescent="0.25">
      <c r="A304" t="s">
        <v>351</v>
      </c>
      <c r="B304">
        <v>0</v>
      </c>
      <c r="C304">
        <v>0</v>
      </c>
      <c r="I304" s="1">
        <v>0</v>
      </c>
      <c r="J304" s="1">
        <v>0</v>
      </c>
      <c r="K304" s="1"/>
      <c r="L304" s="1"/>
      <c r="M304" s="1" t="b">
        <v>0</v>
      </c>
      <c r="N304" s="1"/>
      <c r="O304">
        <v>0</v>
      </c>
      <c r="P304">
        <v>2</v>
      </c>
      <c r="Q304">
        <v>0</v>
      </c>
      <c r="R304" s="1">
        <f t="shared" si="62"/>
        <v>0</v>
      </c>
      <c r="S304" s="1">
        <f t="shared" si="63"/>
        <v>0</v>
      </c>
      <c r="T304" s="1">
        <f t="shared" si="64"/>
        <v>2</v>
      </c>
      <c r="U304" s="1">
        <f t="shared" si="65"/>
        <v>2</v>
      </c>
      <c r="V304" s="1">
        <f t="shared" si="66"/>
        <v>1</v>
      </c>
      <c r="W304" s="1" t="str">
        <f t="shared" si="67"/>
        <v>DP</v>
      </c>
      <c r="X304" t="s">
        <v>39</v>
      </c>
      <c r="Y304" t="s">
        <v>149</v>
      </c>
      <c r="AB304" t="s">
        <v>263</v>
      </c>
      <c r="AC304" t="s">
        <v>263</v>
      </c>
      <c r="AD304" t="s">
        <v>263</v>
      </c>
      <c r="AE304" t="s">
        <v>263</v>
      </c>
      <c r="AF304" t="s">
        <v>263</v>
      </c>
      <c r="AG304" t="s">
        <v>263</v>
      </c>
      <c r="AH304" t="s">
        <v>263</v>
      </c>
      <c r="AJ304">
        <f t="shared" si="68"/>
        <v>1</v>
      </c>
      <c r="AK304">
        <f t="shared" si="69"/>
        <v>0</v>
      </c>
      <c r="AL304">
        <f t="shared" si="70"/>
        <v>1</v>
      </c>
      <c r="AM304">
        <f t="shared" si="60"/>
        <v>0</v>
      </c>
      <c r="AN304">
        <f t="shared" si="71"/>
        <v>1</v>
      </c>
      <c r="AO304">
        <f t="shared" si="72"/>
        <v>0</v>
      </c>
      <c r="AP304">
        <f t="shared" si="73"/>
        <v>0</v>
      </c>
      <c r="AQ304">
        <f t="shared" si="61"/>
        <v>0</v>
      </c>
      <c r="AR304">
        <f t="shared" si="74"/>
        <v>0</v>
      </c>
    </row>
    <row r="305" spans="1:44" x14ac:dyDescent="0.25">
      <c r="A305" t="s">
        <v>352</v>
      </c>
      <c r="B305">
        <v>0</v>
      </c>
      <c r="C305">
        <v>0</v>
      </c>
      <c r="I305" s="1">
        <v>0</v>
      </c>
      <c r="J305" s="1">
        <v>0</v>
      </c>
      <c r="K305" s="1"/>
      <c r="L305" s="1"/>
      <c r="M305" s="1" t="b">
        <v>0</v>
      </c>
      <c r="N305" s="1"/>
      <c r="O305">
        <v>0</v>
      </c>
      <c r="P305">
        <v>3</v>
      </c>
      <c r="Q305">
        <v>0</v>
      </c>
      <c r="R305" s="1">
        <f t="shared" si="62"/>
        <v>0</v>
      </c>
      <c r="S305" s="1">
        <f t="shared" si="63"/>
        <v>1</v>
      </c>
      <c r="T305" s="1">
        <f t="shared" si="64"/>
        <v>2</v>
      </c>
      <c r="U305" s="1">
        <f t="shared" si="65"/>
        <v>3</v>
      </c>
      <c r="V305" s="1">
        <f t="shared" si="66"/>
        <v>1</v>
      </c>
      <c r="W305" s="1" t="str">
        <f t="shared" si="67"/>
        <v>DP</v>
      </c>
      <c r="X305" t="s">
        <v>39</v>
      </c>
      <c r="Y305" t="s">
        <v>149</v>
      </c>
      <c r="AB305" t="s">
        <v>263</v>
      </c>
      <c r="AC305" t="s">
        <v>263</v>
      </c>
      <c r="AD305" t="s">
        <v>263</v>
      </c>
      <c r="AE305" t="s">
        <v>263</v>
      </c>
      <c r="AF305" t="s">
        <v>263</v>
      </c>
      <c r="AG305" t="s">
        <v>263</v>
      </c>
      <c r="AH305" t="s">
        <v>263</v>
      </c>
      <c r="AJ305">
        <f t="shared" si="68"/>
        <v>1</v>
      </c>
      <c r="AK305">
        <f t="shared" si="69"/>
        <v>0</v>
      </c>
      <c r="AL305">
        <f t="shared" si="70"/>
        <v>1</v>
      </c>
      <c r="AM305">
        <f t="shared" si="60"/>
        <v>0</v>
      </c>
      <c r="AN305">
        <f t="shared" si="71"/>
        <v>1</v>
      </c>
      <c r="AO305">
        <f t="shared" si="72"/>
        <v>0</v>
      </c>
      <c r="AP305">
        <f t="shared" si="73"/>
        <v>0</v>
      </c>
      <c r="AQ305">
        <f t="shared" si="61"/>
        <v>0</v>
      </c>
      <c r="AR305">
        <f t="shared" si="74"/>
        <v>0</v>
      </c>
    </row>
    <row r="306" spans="1:44" x14ac:dyDescent="0.25">
      <c r="A306" t="s">
        <v>353</v>
      </c>
      <c r="B306">
        <v>0</v>
      </c>
      <c r="C306">
        <v>0</v>
      </c>
      <c r="I306" s="1">
        <v>0</v>
      </c>
      <c r="J306" s="1">
        <v>0</v>
      </c>
      <c r="K306" s="1" t="s">
        <v>6</v>
      </c>
      <c r="L306" s="1" t="s">
        <v>7</v>
      </c>
      <c r="M306" s="1" t="b">
        <v>0</v>
      </c>
      <c r="N306" s="1"/>
      <c r="O306">
        <v>0</v>
      </c>
      <c r="P306">
        <v>3</v>
      </c>
      <c r="Q306">
        <v>0</v>
      </c>
      <c r="R306" s="1">
        <f t="shared" si="62"/>
        <v>0</v>
      </c>
      <c r="S306" s="1">
        <f t="shared" si="63"/>
        <v>1</v>
      </c>
      <c r="T306" s="1">
        <f t="shared" si="64"/>
        <v>2</v>
      </c>
      <c r="U306" s="1">
        <f t="shared" si="65"/>
        <v>3</v>
      </c>
      <c r="V306" s="1">
        <f t="shared" si="66"/>
        <v>7</v>
      </c>
      <c r="W306" s="1" t="str">
        <f t="shared" si="67"/>
        <v>DP21</v>
      </c>
      <c r="X306" t="s">
        <v>39</v>
      </c>
      <c r="Y306" t="s">
        <v>149</v>
      </c>
      <c r="AB306" t="s">
        <v>263</v>
      </c>
      <c r="AC306" t="s">
        <v>263</v>
      </c>
      <c r="AD306" t="s">
        <v>263</v>
      </c>
      <c r="AE306" t="s">
        <v>263</v>
      </c>
      <c r="AF306" t="s">
        <v>263</v>
      </c>
      <c r="AG306" t="s">
        <v>263</v>
      </c>
      <c r="AH306" t="s">
        <v>263</v>
      </c>
      <c r="AJ306">
        <f t="shared" si="68"/>
        <v>1</v>
      </c>
      <c r="AK306">
        <f t="shared" si="69"/>
        <v>0</v>
      </c>
      <c r="AL306">
        <f t="shared" si="70"/>
        <v>1</v>
      </c>
      <c r="AM306">
        <f t="shared" si="60"/>
        <v>0</v>
      </c>
      <c r="AN306">
        <f t="shared" si="71"/>
        <v>7</v>
      </c>
      <c r="AO306">
        <f t="shared" si="72"/>
        <v>0</v>
      </c>
      <c r="AP306">
        <f t="shared" si="73"/>
        <v>1</v>
      </c>
      <c r="AQ306">
        <f t="shared" si="61"/>
        <v>0</v>
      </c>
      <c r="AR306">
        <f t="shared" si="74"/>
        <v>1</v>
      </c>
    </row>
    <row r="307" spans="1:44" x14ac:dyDescent="0.25">
      <c r="A307" t="s">
        <v>354</v>
      </c>
      <c r="B307">
        <v>0</v>
      </c>
      <c r="C307">
        <v>0</v>
      </c>
      <c r="D307" t="s">
        <v>7</v>
      </c>
      <c r="H307" t="s">
        <v>3</v>
      </c>
      <c r="I307" s="1">
        <v>0</v>
      </c>
      <c r="J307" s="1">
        <v>0</v>
      </c>
      <c r="K307" s="1" t="s">
        <v>7</v>
      </c>
      <c r="L307" s="1"/>
      <c r="M307" s="1" t="b">
        <v>0</v>
      </c>
      <c r="N307" s="1"/>
      <c r="O307">
        <v>0</v>
      </c>
      <c r="P307">
        <v>2</v>
      </c>
      <c r="Q307">
        <v>3</v>
      </c>
      <c r="R307" s="1">
        <f t="shared" si="62"/>
        <v>0</v>
      </c>
      <c r="S307" s="1">
        <f t="shared" si="63"/>
        <v>0</v>
      </c>
      <c r="T307" s="1">
        <f t="shared" si="64"/>
        <v>2</v>
      </c>
      <c r="U307" s="1">
        <f t="shared" si="65"/>
        <v>2</v>
      </c>
      <c r="V307" s="1">
        <f t="shared" si="66"/>
        <v>4</v>
      </c>
      <c r="W307" s="1" t="str">
        <f t="shared" si="67"/>
        <v>DP21</v>
      </c>
      <c r="X307" t="s">
        <v>39</v>
      </c>
      <c r="Y307" t="s">
        <v>149</v>
      </c>
      <c r="AB307" t="s">
        <v>263</v>
      </c>
      <c r="AC307" t="s">
        <v>263</v>
      </c>
      <c r="AD307" t="s">
        <v>263</v>
      </c>
      <c r="AE307" t="s">
        <v>263</v>
      </c>
      <c r="AF307" t="s">
        <v>263</v>
      </c>
      <c r="AG307" t="s">
        <v>263</v>
      </c>
      <c r="AH307" t="s">
        <v>263</v>
      </c>
      <c r="AJ307">
        <f t="shared" si="68"/>
        <v>11</v>
      </c>
      <c r="AK307">
        <f t="shared" si="69"/>
        <v>100</v>
      </c>
      <c r="AL307">
        <f t="shared" si="70"/>
        <v>4</v>
      </c>
      <c r="AM307">
        <f t="shared" si="60"/>
        <v>3</v>
      </c>
      <c r="AN307">
        <f t="shared" si="71"/>
        <v>4</v>
      </c>
      <c r="AO307">
        <f t="shared" si="72"/>
        <v>3</v>
      </c>
      <c r="AP307">
        <f t="shared" si="73"/>
        <v>0</v>
      </c>
      <c r="AQ307">
        <f t="shared" si="61"/>
        <v>0</v>
      </c>
      <c r="AR307">
        <f t="shared" si="74"/>
        <v>0</v>
      </c>
    </row>
    <row r="308" spans="1:44" x14ac:dyDescent="0.25">
      <c r="A308" t="s">
        <v>355</v>
      </c>
      <c r="B308">
        <v>0</v>
      </c>
      <c r="C308">
        <v>0</v>
      </c>
      <c r="E308" t="s">
        <v>7</v>
      </c>
      <c r="H308" t="s">
        <v>4</v>
      </c>
      <c r="I308" s="1">
        <v>0</v>
      </c>
      <c r="J308" s="1">
        <v>0</v>
      </c>
      <c r="K308" s="1"/>
      <c r="L308" s="1" t="s">
        <v>7</v>
      </c>
      <c r="M308" s="1" t="b">
        <v>0</v>
      </c>
      <c r="N308" s="1"/>
      <c r="O308">
        <v>0</v>
      </c>
      <c r="P308">
        <v>2</v>
      </c>
      <c r="Q308">
        <v>3</v>
      </c>
      <c r="R308" s="1">
        <f t="shared" si="62"/>
        <v>0</v>
      </c>
      <c r="S308" s="1">
        <f t="shared" si="63"/>
        <v>0</v>
      </c>
      <c r="T308" s="1">
        <f t="shared" si="64"/>
        <v>2</v>
      </c>
      <c r="U308" s="1">
        <f t="shared" si="65"/>
        <v>2</v>
      </c>
      <c r="V308" s="1">
        <f t="shared" si="66"/>
        <v>5</v>
      </c>
      <c r="W308" s="1" t="str">
        <f t="shared" si="67"/>
        <v>DP21</v>
      </c>
      <c r="X308" t="s">
        <v>39</v>
      </c>
      <c r="Y308" t="s">
        <v>149</v>
      </c>
      <c r="AB308" t="s">
        <v>263</v>
      </c>
      <c r="AC308" t="s">
        <v>263</v>
      </c>
      <c r="AD308" t="s">
        <v>263</v>
      </c>
      <c r="AE308" t="s">
        <v>263</v>
      </c>
      <c r="AF308" t="s">
        <v>263</v>
      </c>
      <c r="AG308" t="s">
        <v>263</v>
      </c>
      <c r="AH308" t="s">
        <v>263</v>
      </c>
      <c r="AJ308">
        <f t="shared" si="68"/>
        <v>101</v>
      </c>
      <c r="AK308">
        <f t="shared" si="69"/>
        <v>100</v>
      </c>
      <c r="AL308">
        <f t="shared" si="70"/>
        <v>5</v>
      </c>
      <c r="AM308">
        <f t="shared" si="60"/>
        <v>3</v>
      </c>
      <c r="AN308">
        <f t="shared" si="71"/>
        <v>5</v>
      </c>
      <c r="AO308">
        <f t="shared" si="72"/>
        <v>3</v>
      </c>
      <c r="AP308">
        <f t="shared" si="73"/>
        <v>0</v>
      </c>
      <c r="AQ308">
        <f t="shared" si="61"/>
        <v>0</v>
      </c>
      <c r="AR308">
        <f t="shared" si="74"/>
        <v>0</v>
      </c>
    </row>
    <row r="309" spans="1:44" x14ac:dyDescent="0.25">
      <c r="A309" t="s">
        <v>356</v>
      </c>
      <c r="B309">
        <v>0</v>
      </c>
      <c r="C309">
        <v>0</v>
      </c>
      <c r="D309" t="s">
        <v>7</v>
      </c>
      <c r="E309" t="s">
        <v>43</v>
      </c>
      <c r="H309" t="s">
        <v>3</v>
      </c>
      <c r="I309" s="1">
        <v>0</v>
      </c>
      <c r="J309" s="1">
        <v>0</v>
      </c>
      <c r="K309" s="1" t="s">
        <v>7</v>
      </c>
      <c r="L309" s="1" t="s">
        <v>43</v>
      </c>
      <c r="M309" s="1" t="b">
        <v>0</v>
      </c>
      <c r="N309" s="1"/>
      <c r="O309">
        <v>1</v>
      </c>
      <c r="P309">
        <v>2</v>
      </c>
      <c r="Q309">
        <v>3</v>
      </c>
      <c r="R309" s="1">
        <f t="shared" si="62"/>
        <v>1</v>
      </c>
      <c r="S309" s="1">
        <f t="shared" si="63"/>
        <v>0</v>
      </c>
      <c r="T309" s="1">
        <f t="shared" si="64"/>
        <v>2</v>
      </c>
      <c r="U309" s="1">
        <f t="shared" si="65"/>
        <v>2</v>
      </c>
      <c r="V309" s="1">
        <f t="shared" si="66"/>
        <v>7</v>
      </c>
      <c r="W309" s="1" t="str">
        <f t="shared" si="67"/>
        <v>DP21</v>
      </c>
      <c r="X309" t="s">
        <v>39</v>
      </c>
      <c r="Y309" t="s">
        <v>149</v>
      </c>
      <c r="AB309" t="s">
        <v>263</v>
      </c>
      <c r="AC309" t="s">
        <v>263</v>
      </c>
      <c r="AD309" t="s">
        <v>263</v>
      </c>
      <c r="AE309" t="s">
        <v>263</v>
      </c>
      <c r="AF309" t="s">
        <v>263</v>
      </c>
      <c r="AG309" t="s">
        <v>263</v>
      </c>
      <c r="AH309" t="s">
        <v>263</v>
      </c>
      <c r="AJ309">
        <f t="shared" si="68"/>
        <v>111</v>
      </c>
      <c r="AK309">
        <f t="shared" si="69"/>
        <v>100</v>
      </c>
      <c r="AL309">
        <f t="shared" si="70"/>
        <v>7</v>
      </c>
      <c r="AM309">
        <f t="shared" si="60"/>
        <v>3</v>
      </c>
      <c r="AN309">
        <f t="shared" si="71"/>
        <v>7</v>
      </c>
      <c r="AO309">
        <f t="shared" si="72"/>
        <v>3</v>
      </c>
      <c r="AP309">
        <f t="shared" si="73"/>
        <v>0</v>
      </c>
      <c r="AQ309">
        <f t="shared" si="61"/>
        <v>0</v>
      </c>
      <c r="AR309">
        <f t="shared" si="74"/>
        <v>0</v>
      </c>
    </row>
    <row r="310" spans="1:44" x14ac:dyDescent="0.25">
      <c r="A310" t="s">
        <v>357</v>
      </c>
      <c r="B310">
        <v>0</v>
      </c>
      <c r="C310">
        <v>0</v>
      </c>
      <c r="I310" s="1">
        <v>0</v>
      </c>
      <c r="J310" s="1">
        <v>0</v>
      </c>
      <c r="K310" s="1" t="s">
        <v>6</v>
      </c>
      <c r="L310" s="1"/>
      <c r="M310" s="1" t="b">
        <v>0</v>
      </c>
      <c r="N310" s="1"/>
      <c r="O310">
        <v>0</v>
      </c>
      <c r="P310">
        <v>3</v>
      </c>
      <c r="Q310">
        <v>0</v>
      </c>
      <c r="R310" s="1">
        <f t="shared" si="62"/>
        <v>0</v>
      </c>
      <c r="S310" s="1">
        <f t="shared" si="63"/>
        <v>1</v>
      </c>
      <c r="T310" s="1">
        <f t="shared" si="64"/>
        <v>2</v>
      </c>
      <c r="U310" s="1">
        <f t="shared" si="65"/>
        <v>3</v>
      </c>
      <c r="V310" s="1">
        <f t="shared" si="66"/>
        <v>4</v>
      </c>
      <c r="W310" s="1" t="str">
        <f t="shared" si="67"/>
        <v>DP21</v>
      </c>
      <c r="X310" t="s">
        <v>39</v>
      </c>
      <c r="Y310" t="s">
        <v>149</v>
      </c>
      <c r="AB310" t="s">
        <v>263</v>
      </c>
      <c r="AC310" t="s">
        <v>263</v>
      </c>
      <c r="AD310" t="s">
        <v>263</v>
      </c>
      <c r="AE310" t="s">
        <v>263</v>
      </c>
      <c r="AF310" t="s">
        <v>263</v>
      </c>
      <c r="AG310" t="s">
        <v>263</v>
      </c>
      <c r="AH310" t="s">
        <v>263</v>
      </c>
      <c r="AJ310">
        <f t="shared" si="68"/>
        <v>1</v>
      </c>
      <c r="AK310">
        <f t="shared" si="69"/>
        <v>0</v>
      </c>
      <c r="AL310">
        <f t="shared" si="70"/>
        <v>1</v>
      </c>
      <c r="AM310">
        <f t="shared" si="60"/>
        <v>0</v>
      </c>
      <c r="AN310">
        <f t="shared" si="71"/>
        <v>4</v>
      </c>
      <c r="AO310">
        <f t="shared" si="72"/>
        <v>0</v>
      </c>
      <c r="AP310">
        <f t="shared" si="73"/>
        <v>1</v>
      </c>
      <c r="AQ310">
        <f t="shared" si="61"/>
        <v>0</v>
      </c>
      <c r="AR310">
        <f t="shared" si="74"/>
        <v>1</v>
      </c>
    </row>
    <row r="311" spans="1:44" x14ac:dyDescent="0.25">
      <c r="A311" t="s">
        <v>358</v>
      </c>
      <c r="B311">
        <v>0</v>
      </c>
      <c r="C311">
        <v>0</v>
      </c>
      <c r="I311" s="1">
        <v>0</v>
      </c>
      <c r="J311" s="1">
        <v>0</v>
      </c>
      <c r="K311" s="1"/>
      <c r="L311" s="1" t="s">
        <v>7</v>
      </c>
      <c r="M311" s="1" t="b">
        <v>0</v>
      </c>
      <c r="N311" s="1"/>
      <c r="O311">
        <v>0</v>
      </c>
      <c r="P311">
        <v>3</v>
      </c>
      <c r="Q311">
        <v>0</v>
      </c>
      <c r="R311" s="1">
        <f t="shared" si="62"/>
        <v>0</v>
      </c>
      <c r="S311" s="1">
        <f t="shared" si="63"/>
        <v>1</v>
      </c>
      <c r="T311" s="1">
        <f t="shared" si="64"/>
        <v>2</v>
      </c>
      <c r="U311" s="1">
        <f t="shared" si="65"/>
        <v>3</v>
      </c>
      <c r="V311" s="1">
        <f t="shared" si="66"/>
        <v>5</v>
      </c>
      <c r="W311" s="1" t="str">
        <f t="shared" si="67"/>
        <v>DP21</v>
      </c>
      <c r="X311" t="s">
        <v>39</v>
      </c>
      <c r="Y311" t="s">
        <v>149</v>
      </c>
      <c r="AB311" t="s">
        <v>263</v>
      </c>
      <c r="AC311" t="s">
        <v>263</v>
      </c>
      <c r="AD311" t="s">
        <v>263</v>
      </c>
      <c r="AE311" t="s">
        <v>263</v>
      </c>
      <c r="AF311" t="s">
        <v>263</v>
      </c>
      <c r="AG311" t="s">
        <v>263</v>
      </c>
      <c r="AH311" t="s">
        <v>263</v>
      </c>
      <c r="AJ311">
        <f t="shared" si="68"/>
        <v>1</v>
      </c>
      <c r="AK311">
        <f t="shared" si="69"/>
        <v>0</v>
      </c>
      <c r="AL311">
        <f t="shared" si="70"/>
        <v>1</v>
      </c>
      <c r="AM311">
        <f t="shared" si="60"/>
        <v>0</v>
      </c>
      <c r="AN311">
        <f t="shared" si="71"/>
        <v>5</v>
      </c>
      <c r="AO311">
        <f t="shared" si="72"/>
        <v>0</v>
      </c>
      <c r="AP311">
        <f t="shared" si="73"/>
        <v>1</v>
      </c>
      <c r="AQ311">
        <f t="shared" si="61"/>
        <v>0</v>
      </c>
      <c r="AR311">
        <f t="shared" si="74"/>
        <v>1</v>
      </c>
    </row>
    <row r="312" spans="1:44" x14ac:dyDescent="0.25">
      <c r="A312" t="s">
        <v>359</v>
      </c>
      <c r="B312">
        <v>0</v>
      </c>
      <c r="C312">
        <v>0</v>
      </c>
      <c r="I312" s="1">
        <v>0</v>
      </c>
      <c r="J312" s="1"/>
      <c r="K312" s="1">
        <v>0</v>
      </c>
      <c r="L312" s="1" t="s">
        <v>7</v>
      </c>
      <c r="M312" s="1" t="b">
        <v>0</v>
      </c>
      <c r="N312" s="1"/>
      <c r="O312">
        <v>0</v>
      </c>
      <c r="P312">
        <v>3</v>
      </c>
      <c r="Q312">
        <v>0</v>
      </c>
      <c r="R312" s="1">
        <f t="shared" si="62"/>
        <v>0</v>
      </c>
      <c r="S312" s="1">
        <f t="shared" si="63"/>
        <v>1</v>
      </c>
      <c r="T312" s="1">
        <f t="shared" si="64"/>
        <v>2</v>
      </c>
      <c r="U312" s="1">
        <f t="shared" si="65"/>
        <v>3</v>
      </c>
      <c r="V312" s="1">
        <f t="shared" si="66"/>
        <v>6</v>
      </c>
      <c r="W312" s="1" t="str">
        <f t="shared" si="67"/>
        <v>DP21</v>
      </c>
      <c r="X312" t="s">
        <v>39</v>
      </c>
      <c r="Y312" t="s">
        <v>149</v>
      </c>
      <c r="AB312" t="s">
        <v>263</v>
      </c>
      <c r="AC312" t="s">
        <v>263</v>
      </c>
      <c r="AD312" t="s">
        <v>263</v>
      </c>
      <c r="AE312" t="s">
        <v>263</v>
      </c>
      <c r="AF312" t="s">
        <v>263</v>
      </c>
      <c r="AG312" t="s">
        <v>263</v>
      </c>
      <c r="AH312" t="s">
        <v>263</v>
      </c>
      <c r="AJ312">
        <f t="shared" si="68"/>
        <v>1</v>
      </c>
      <c r="AK312">
        <f t="shared" si="69"/>
        <v>0</v>
      </c>
      <c r="AL312">
        <f t="shared" si="70"/>
        <v>1</v>
      </c>
      <c r="AM312">
        <f t="shared" si="60"/>
        <v>0</v>
      </c>
      <c r="AN312">
        <f t="shared" si="71"/>
        <v>6</v>
      </c>
      <c r="AO312">
        <f t="shared" si="72"/>
        <v>0</v>
      </c>
      <c r="AP312">
        <f t="shared" si="73"/>
        <v>1</v>
      </c>
      <c r="AQ312">
        <f t="shared" si="61"/>
        <v>0</v>
      </c>
      <c r="AR312">
        <f t="shared" si="74"/>
        <v>1</v>
      </c>
    </row>
    <row r="313" spans="1:44" x14ac:dyDescent="0.25">
      <c r="A313" t="s">
        <v>360</v>
      </c>
      <c r="B313">
        <v>0</v>
      </c>
      <c r="C313" t="s">
        <v>6</v>
      </c>
      <c r="D313">
        <v>0</v>
      </c>
      <c r="G313" t="s">
        <v>2</v>
      </c>
      <c r="I313" s="1">
        <v>0</v>
      </c>
      <c r="J313" s="1" t="s">
        <v>6</v>
      </c>
      <c r="K313" s="1">
        <v>0</v>
      </c>
      <c r="L313" s="1"/>
      <c r="M313" s="1" t="b">
        <v>0</v>
      </c>
      <c r="N313" s="1"/>
      <c r="O313">
        <v>0</v>
      </c>
      <c r="P313">
        <v>2</v>
      </c>
      <c r="Q313">
        <v>2</v>
      </c>
      <c r="R313" s="1">
        <f t="shared" si="62"/>
        <v>0</v>
      </c>
      <c r="S313" s="1">
        <f t="shared" si="63"/>
        <v>0</v>
      </c>
      <c r="T313" s="1">
        <f t="shared" si="64"/>
        <v>2</v>
      </c>
      <c r="U313" s="1">
        <f t="shared" si="65"/>
        <v>2</v>
      </c>
      <c r="V313" s="1">
        <f t="shared" si="66"/>
        <v>4</v>
      </c>
      <c r="W313" s="1" t="str">
        <f t="shared" si="67"/>
        <v>DP31</v>
      </c>
      <c r="X313" t="s">
        <v>39</v>
      </c>
      <c r="Y313" t="s">
        <v>149</v>
      </c>
      <c r="Z313" t="s">
        <v>361</v>
      </c>
      <c r="AA313" t="s">
        <v>262</v>
      </c>
      <c r="AB313" t="s">
        <v>265</v>
      </c>
      <c r="AC313" t="s">
        <v>265</v>
      </c>
      <c r="AD313" t="s">
        <v>265</v>
      </c>
      <c r="AE313" t="s">
        <v>265</v>
      </c>
      <c r="AF313" t="s">
        <v>265</v>
      </c>
      <c r="AG313" t="s">
        <v>265</v>
      </c>
      <c r="AH313" t="s">
        <v>265</v>
      </c>
      <c r="AJ313">
        <f t="shared" si="68"/>
        <v>11</v>
      </c>
      <c r="AK313">
        <f t="shared" si="69"/>
        <v>10</v>
      </c>
      <c r="AL313">
        <f t="shared" si="70"/>
        <v>4</v>
      </c>
      <c r="AM313">
        <f t="shared" si="60"/>
        <v>2</v>
      </c>
      <c r="AN313">
        <f t="shared" si="71"/>
        <v>4</v>
      </c>
      <c r="AO313">
        <f t="shared" si="72"/>
        <v>2</v>
      </c>
      <c r="AP313">
        <f t="shared" si="73"/>
        <v>0</v>
      </c>
      <c r="AQ313">
        <f t="shared" si="61"/>
        <v>0</v>
      </c>
      <c r="AR313">
        <f t="shared" si="74"/>
        <v>0</v>
      </c>
    </row>
    <row r="314" spans="1:44" x14ac:dyDescent="0.25">
      <c r="A314" t="s">
        <v>362</v>
      </c>
      <c r="B314">
        <v>0</v>
      </c>
      <c r="C314" t="s">
        <v>6</v>
      </c>
      <c r="D314">
        <v>0</v>
      </c>
      <c r="E314" t="s">
        <v>43</v>
      </c>
      <c r="G314" t="s">
        <v>2</v>
      </c>
      <c r="I314" s="1">
        <v>0</v>
      </c>
      <c r="J314" s="1" t="s">
        <v>6</v>
      </c>
      <c r="K314" s="1">
        <v>0</v>
      </c>
      <c r="L314" s="1" t="s">
        <v>43</v>
      </c>
      <c r="M314" s="1" t="b">
        <v>0</v>
      </c>
      <c r="N314" s="1"/>
      <c r="O314">
        <v>1</v>
      </c>
      <c r="P314">
        <v>2</v>
      </c>
      <c r="Q314">
        <v>2</v>
      </c>
      <c r="R314" s="1">
        <f t="shared" si="62"/>
        <v>1</v>
      </c>
      <c r="S314" s="1">
        <f t="shared" si="63"/>
        <v>0</v>
      </c>
      <c r="T314" s="1">
        <f t="shared" si="64"/>
        <v>2</v>
      </c>
      <c r="U314" s="1">
        <f t="shared" si="65"/>
        <v>2</v>
      </c>
      <c r="V314" s="1">
        <f t="shared" si="66"/>
        <v>7</v>
      </c>
      <c r="W314" s="1" t="str">
        <f t="shared" si="67"/>
        <v>DP31</v>
      </c>
      <c r="X314" t="s">
        <v>39</v>
      </c>
      <c r="Y314" t="s">
        <v>149</v>
      </c>
      <c r="Z314" t="s">
        <v>361</v>
      </c>
      <c r="AA314" t="s">
        <v>262</v>
      </c>
      <c r="AB314" t="s">
        <v>265</v>
      </c>
      <c r="AC314" t="s">
        <v>265</v>
      </c>
      <c r="AD314" t="s">
        <v>265</v>
      </c>
      <c r="AE314" t="s">
        <v>265</v>
      </c>
      <c r="AF314" t="s">
        <v>265</v>
      </c>
      <c r="AG314" t="s">
        <v>265</v>
      </c>
      <c r="AH314" t="s">
        <v>265</v>
      </c>
      <c r="AJ314">
        <f t="shared" si="68"/>
        <v>111</v>
      </c>
      <c r="AK314">
        <f t="shared" si="69"/>
        <v>10</v>
      </c>
      <c r="AL314">
        <f t="shared" si="70"/>
        <v>7</v>
      </c>
      <c r="AM314">
        <f t="shared" si="60"/>
        <v>2</v>
      </c>
      <c r="AN314">
        <f t="shared" si="71"/>
        <v>7</v>
      </c>
      <c r="AO314">
        <f t="shared" si="72"/>
        <v>2</v>
      </c>
      <c r="AP314">
        <f t="shared" si="73"/>
        <v>0</v>
      </c>
      <c r="AQ314">
        <f t="shared" si="61"/>
        <v>0</v>
      </c>
      <c r="AR314">
        <f t="shared" si="74"/>
        <v>0</v>
      </c>
    </row>
    <row r="315" spans="1:44" x14ac:dyDescent="0.25">
      <c r="A315" t="s">
        <v>363</v>
      </c>
      <c r="B315">
        <v>0</v>
      </c>
      <c r="D315">
        <v>0</v>
      </c>
      <c r="I315" s="1">
        <v>0</v>
      </c>
      <c r="J315" s="1" t="s">
        <v>5</v>
      </c>
      <c r="K315" s="1">
        <v>0</v>
      </c>
      <c r="L315" s="1"/>
      <c r="M315" s="1" t="b">
        <v>0</v>
      </c>
      <c r="N315" s="1"/>
      <c r="O315">
        <v>0</v>
      </c>
      <c r="P315">
        <v>3</v>
      </c>
      <c r="Q315">
        <v>0</v>
      </c>
      <c r="R315" s="1">
        <f t="shared" si="62"/>
        <v>0</v>
      </c>
      <c r="S315" s="1">
        <f t="shared" si="63"/>
        <v>1</v>
      </c>
      <c r="T315" s="1">
        <f t="shared" si="64"/>
        <v>2</v>
      </c>
      <c r="U315" s="1">
        <f t="shared" si="65"/>
        <v>3</v>
      </c>
      <c r="V315" s="1">
        <f t="shared" si="66"/>
        <v>4</v>
      </c>
      <c r="W315" s="1" t="str">
        <f t="shared" si="67"/>
        <v>DP31</v>
      </c>
      <c r="X315" t="s">
        <v>39</v>
      </c>
      <c r="Y315" t="s">
        <v>149</v>
      </c>
      <c r="Z315" t="s">
        <v>361</v>
      </c>
      <c r="AA315" t="s">
        <v>262</v>
      </c>
      <c r="AB315" t="s">
        <v>265</v>
      </c>
      <c r="AC315" t="s">
        <v>263</v>
      </c>
      <c r="AD315" t="s">
        <v>263</v>
      </c>
      <c r="AE315" t="s">
        <v>263</v>
      </c>
      <c r="AF315" t="s">
        <v>263</v>
      </c>
      <c r="AG315" t="s">
        <v>263</v>
      </c>
      <c r="AH315" t="s">
        <v>265</v>
      </c>
      <c r="AJ315">
        <f t="shared" si="68"/>
        <v>10</v>
      </c>
      <c r="AK315">
        <f t="shared" si="69"/>
        <v>0</v>
      </c>
      <c r="AL315">
        <f t="shared" si="70"/>
        <v>2</v>
      </c>
      <c r="AM315">
        <f t="shared" si="60"/>
        <v>0</v>
      </c>
      <c r="AN315">
        <f t="shared" si="71"/>
        <v>4</v>
      </c>
      <c r="AO315">
        <f t="shared" si="72"/>
        <v>0</v>
      </c>
      <c r="AP315">
        <f t="shared" si="73"/>
        <v>1</v>
      </c>
      <c r="AQ315">
        <f t="shared" si="61"/>
        <v>0</v>
      </c>
      <c r="AR315">
        <f t="shared" si="74"/>
        <v>1</v>
      </c>
    </row>
    <row r="316" spans="1:44" x14ac:dyDescent="0.25">
      <c r="A316" t="s">
        <v>364</v>
      </c>
      <c r="B316">
        <v>0</v>
      </c>
      <c r="D316">
        <v>0</v>
      </c>
      <c r="I316" s="1">
        <v>0</v>
      </c>
      <c r="J316" s="1" t="s">
        <v>5</v>
      </c>
      <c r="K316" s="1">
        <v>0</v>
      </c>
      <c r="L316" s="1" t="s">
        <v>7</v>
      </c>
      <c r="M316" s="1" t="b">
        <v>0</v>
      </c>
      <c r="N316" s="1"/>
      <c r="O316">
        <v>0</v>
      </c>
      <c r="P316">
        <v>3</v>
      </c>
      <c r="Q316">
        <v>0</v>
      </c>
      <c r="R316" s="1">
        <f t="shared" si="62"/>
        <v>0</v>
      </c>
      <c r="S316" s="1">
        <f t="shared" si="63"/>
        <v>1</v>
      </c>
      <c r="T316" s="1">
        <f t="shared" si="64"/>
        <v>2</v>
      </c>
      <c r="U316" s="1">
        <f t="shared" si="65"/>
        <v>3</v>
      </c>
      <c r="V316" s="1">
        <f t="shared" si="66"/>
        <v>7</v>
      </c>
      <c r="W316" s="1" t="str">
        <f t="shared" si="67"/>
        <v>DP31</v>
      </c>
      <c r="X316" t="s">
        <v>39</v>
      </c>
      <c r="Y316" t="s">
        <v>149</v>
      </c>
      <c r="Z316" t="s">
        <v>361</v>
      </c>
      <c r="AA316" t="s">
        <v>262</v>
      </c>
      <c r="AB316" t="s">
        <v>265</v>
      </c>
      <c r="AC316" t="s">
        <v>263</v>
      </c>
      <c r="AD316" t="s">
        <v>263</v>
      </c>
      <c r="AE316" t="s">
        <v>263</v>
      </c>
      <c r="AF316" t="s">
        <v>263</v>
      </c>
      <c r="AG316" t="s">
        <v>263</v>
      </c>
      <c r="AH316" t="s">
        <v>265</v>
      </c>
      <c r="AJ316">
        <f t="shared" si="68"/>
        <v>10</v>
      </c>
      <c r="AK316">
        <f t="shared" si="69"/>
        <v>0</v>
      </c>
      <c r="AL316">
        <f t="shared" si="70"/>
        <v>2</v>
      </c>
      <c r="AM316">
        <f t="shared" si="60"/>
        <v>0</v>
      </c>
      <c r="AN316">
        <f t="shared" si="71"/>
        <v>7</v>
      </c>
      <c r="AO316">
        <f t="shared" si="72"/>
        <v>0</v>
      </c>
      <c r="AP316">
        <f t="shared" si="73"/>
        <v>1</v>
      </c>
      <c r="AQ316">
        <f t="shared" si="61"/>
        <v>0</v>
      </c>
      <c r="AR316">
        <f t="shared" si="74"/>
        <v>1</v>
      </c>
    </row>
    <row r="317" spans="1:44" x14ac:dyDescent="0.25">
      <c r="A317" t="s">
        <v>365</v>
      </c>
      <c r="B317">
        <v>0</v>
      </c>
      <c r="C317" t="s">
        <v>6</v>
      </c>
      <c r="D317" t="s">
        <v>7</v>
      </c>
      <c r="E317">
        <v>0</v>
      </c>
      <c r="G317" t="s">
        <v>2</v>
      </c>
      <c r="H317" t="s">
        <v>3</v>
      </c>
      <c r="I317" s="1">
        <v>0</v>
      </c>
      <c r="J317" s="1" t="s">
        <v>6</v>
      </c>
      <c r="K317" s="1" t="s">
        <v>7</v>
      </c>
      <c r="L317" s="1">
        <v>0</v>
      </c>
      <c r="M317" s="1" t="b">
        <v>0</v>
      </c>
      <c r="N317" s="1"/>
      <c r="O317">
        <v>0</v>
      </c>
      <c r="P317">
        <v>2</v>
      </c>
      <c r="Q317">
        <v>6</v>
      </c>
      <c r="R317" s="1">
        <f t="shared" si="62"/>
        <v>0</v>
      </c>
      <c r="S317" s="1">
        <f t="shared" si="63"/>
        <v>0</v>
      </c>
      <c r="T317" s="1">
        <f t="shared" si="64"/>
        <v>2</v>
      </c>
      <c r="U317" s="1">
        <f t="shared" si="65"/>
        <v>2</v>
      </c>
      <c r="V317" s="1">
        <f t="shared" si="66"/>
        <v>7</v>
      </c>
      <c r="W317" s="1" t="str">
        <f t="shared" si="67"/>
        <v>DPH1</v>
      </c>
      <c r="X317" t="s">
        <v>39</v>
      </c>
      <c r="Y317" t="s">
        <v>149</v>
      </c>
      <c r="AB317" t="s">
        <v>267</v>
      </c>
      <c r="AC317" t="s">
        <v>267</v>
      </c>
      <c r="AD317" t="s">
        <v>267</v>
      </c>
      <c r="AE317" t="s">
        <v>267</v>
      </c>
      <c r="AF317" t="s">
        <v>267</v>
      </c>
      <c r="AG317" t="s">
        <v>267</v>
      </c>
      <c r="AH317" t="s">
        <v>267</v>
      </c>
      <c r="AJ317">
        <f t="shared" si="68"/>
        <v>111</v>
      </c>
      <c r="AK317">
        <f t="shared" si="69"/>
        <v>110</v>
      </c>
      <c r="AL317">
        <f t="shared" si="70"/>
        <v>7</v>
      </c>
      <c r="AM317">
        <f t="shared" si="60"/>
        <v>6</v>
      </c>
      <c r="AN317">
        <f t="shared" si="71"/>
        <v>7</v>
      </c>
      <c r="AO317">
        <f t="shared" si="72"/>
        <v>6</v>
      </c>
      <c r="AP317">
        <f t="shared" si="73"/>
        <v>0</v>
      </c>
      <c r="AQ317">
        <f t="shared" si="61"/>
        <v>0</v>
      </c>
      <c r="AR317">
        <f t="shared" si="74"/>
        <v>0</v>
      </c>
    </row>
    <row r="318" spans="1:44" x14ac:dyDescent="0.25">
      <c r="A318" t="s">
        <v>366</v>
      </c>
      <c r="B318">
        <v>0</v>
      </c>
      <c r="E318">
        <v>0</v>
      </c>
      <c r="I318" s="1">
        <v>0</v>
      </c>
      <c r="J318" s="1" t="s">
        <v>5</v>
      </c>
      <c r="K318" s="1" t="s">
        <v>6</v>
      </c>
      <c r="L318" s="1">
        <v>0</v>
      </c>
      <c r="M318" s="1" t="b">
        <v>0</v>
      </c>
      <c r="N318" s="1"/>
      <c r="O318">
        <v>0</v>
      </c>
      <c r="P318">
        <v>3</v>
      </c>
      <c r="Q318">
        <v>0</v>
      </c>
      <c r="R318" s="1">
        <f t="shared" si="62"/>
        <v>0</v>
      </c>
      <c r="S318" s="1">
        <f t="shared" si="63"/>
        <v>1</v>
      </c>
      <c r="T318" s="1">
        <f t="shared" si="64"/>
        <v>2</v>
      </c>
      <c r="U318" s="1">
        <f t="shared" si="65"/>
        <v>3</v>
      </c>
      <c r="V318" s="1">
        <f t="shared" si="66"/>
        <v>7</v>
      </c>
      <c r="W318" s="1" t="str">
        <f t="shared" si="67"/>
        <v>DPH1</v>
      </c>
      <c r="X318" t="s">
        <v>39</v>
      </c>
      <c r="Y318" t="s">
        <v>149</v>
      </c>
      <c r="AB318" t="s">
        <v>267</v>
      </c>
      <c r="AC318" t="s">
        <v>267</v>
      </c>
      <c r="AD318" t="s">
        <v>267</v>
      </c>
      <c r="AE318" t="s">
        <v>267</v>
      </c>
      <c r="AF318" t="s">
        <v>267</v>
      </c>
      <c r="AG318" t="s">
        <v>267</v>
      </c>
      <c r="AH318" t="s">
        <v>267</v>
      </c>
      <c r="AJ318">
        <f t="shared" si="68"/>
        <v>100</v>
      </c>
      <c r="AK318">
        <f t="shared" si="69"/>
        <v>0</v>
      </c>
      <c r="AL318">
        <f t="shared" si="70"/>
        <v>3</v>
      </c>
      <c r="AM318">
        <f t="shared" si="60"/>
        <v>0</v>
      </c>
      <c r="AN318">
        <f t="shared" si="71"/>
        <v>7</v>
      </c>
      <c r="AO318">
        <f t="shared" si="72"/>
        <v>0</v>
      </c>
      <c r="AP318">
        <f t="shared" si="73"/>
        <v>1</v>
      </c>
      <c r="AQ318">
        <f t="shared" si="61"/>
        <v>0</v>
      </c>
      <c r="AR318">
        <f t="shared" si="74"/>
        <v>1</v>
      </c>
    </row>
    <row r="319" spans="1:44" x14ac:dyDescent="0.25">
      <c r="A319" t="s">
        <v>367</v>
      </c>
      <c r="B319">
        <v>0</v>
      </c>
      <c r="C319">
        <v>0</v>
      </c>
      <c r="E319" t="s">
        <v>43</v>
      </c>
      <c r="I319" s="1">
        <v>0</v>
      </c>
      <c r="J319" s="1">
        <v>0</v>
      </c>
      <c r="K319" s="1"/>
      <c r="L319" s="1" t="s">
        <v>43</v>
      </c>
      <c r="M319" s="1" t="b">
        <v>0</v>
      </c>
      <c r="N319" s="1"/>
      <c r="O319">
        <v>1</v>
      </c>
      <c r="P319">
        <v>2</v>
      </c>
      <c r="Q319">
        <v>0</v>
      </c>
      <c r="R319" s="1">
        <f t="shared" si="62"/>
        <v>1</v>
      </c>
      <c r="S319" s="1">
        <f t="shared" si="63"/>
        <v>0</v>
      </c>
      <c r="T319" s="1">
        <f t="shared" si="64"/>
        <v>2</v>
      </c>
      <c r="U319" s="1">
        <f t="shared" si="65"/>
        <v>2</v>
      </c>
      <c r="V319" s="1">
        <f t="shared" si="66"/>
        <v>5</v>
      </c>
      <c r="W319" s="1" t="str">
        <f t="shared" si="67"/>
        <v>DPRun</v>
      </c>
      <c r="X319" t="s">
        <v>39</v>
      </c>
      <c r="Y319" t="s">
        <v>149</v>
      </c>
      <c r="AB319" t="s">
        <v>263</v>
      </c>
      <c r="AC319" t="s">
        <v>263</v>
      </c>
      <c r="AD319" t="s">
        <v>263</v>
      </c>
      <c r="AE319" t="s">
        <v>263</v>
      </c>
      <c r="AF319" t="s">
        <v>263</v>
      </c>
      <c r="AG319" t="s">
        <v>263</v>
      </c>
      <c r="AH319" t="s">
        <v>263</v>
      </c>
      <c r="AJ319">
        <f t="shared" si="68"/>
        <v>101</v>
      </c>
      <c r="AK319">
        <f t="shared" si="69"/>
        <v>0</v>
      </c>
      <c r="AL319">
        <f t="shared" si="70"/>
        <v>5</v>
      </c>
      <c r="AM319">
        <f t="shared" si="60"/>
        <v>0</v>
      </c>
      <c r="AN319">
        <f t="shared" si="71"/>
        <v>5</v>
      </c>
      <c r="AO319">
        <f t="shared" si="72"/>
        <v>0</v>
      </c>
      <c r="AP319">
        <f t="shared" si="73"/>
        <v>0</v>
      </c>
      <c r="AQ319">
        <f t="shared" si="61"/>
        <v>0</v>
      </c>
      <c r="AR319">
        <f t="shared" si="74"/>
        <v>0</v>
      </c>
    </row>
    <row r="320" spans="1:44" x14ac:dyDescent="0.25">
      <c r="A320" t="s">
        <v>368</v>
      </c>
      <c r="B320">
        <v>0</v>
      </c>
      <c r="E320" t="s">
        <v>43</v>
      </c>
      <c r="I320" s="1">
        <v>0</v>
      </c>
      <c r="J320" s="1"/>
      <c r="K320" s="1"/>
      <c r="L320" s="1" t="s">
        <v>43</v>
      </c>
      <c r="M320" s="1" t="b">
        <v>1</v>
      </c>
      <c r="N320" s="1"/>
      <c r="O320">
        <v>1</v>
      </c>
      <c r="P320">
        <v>1</v>
      </c>
      <c r="Q320">
        <v>0</v>
      </c>
      <c r="R320" s="1">
        <f t="shared" si="62"/>
        <v>1</v>
      </c>
      <c r="S320" s="1">
        <f t="shared" si="63"/>
        <v>0</v>
      </c>
      <c r="T320" s="1">
        <f t="shared" si="64"/>
        <v>1</v>
      </c>
      <c r="U320" s="1">
        <f t="shared" si="65"/>
        <v>1</v>
      </c>
      <c r="V320" s="1">
        <f t="shared" si="66"/>
        <v>3</v>
      </c>
      <c r="W320" s="1" t="str">
        <f t="shared" si="67"/>
        <v>DSacF</v>
      </c>
      <c r="X320" t="s">
        <v>149</v>
      </c>
      <c r="Y320" t="s">
        <v>149</v>
      </c>
      <c r="AB320">
        <v>4</v>
      </c>
      <c r="AI320">
        <v>4</v>
      </c>
      <c r="AJ320">
        <f t="shared" si="68"/>
        <v>100</v>
      </c>
      <c r="AK320">
        <f t="shared" si="69"/>
        <v>0</v>
      </c>
      <c r="AL320">
        <f t="shared" si="70"/>
        <v>3</v>
      </c>
      <c r="AM320">
        <f t="shared" si="60"/>
        <v>0</v>
      </c>
      <c r="AN320">
        <f t="shared" si="71"/>
        <v>3</v>
      </c>
      <c r="AO320">
        <f t="shared" si="72"/>
        <v>0</v>
      </c>
      <c r="AP320">
        <f t="shared" si="73"/>
        <v>0</v>
      </c>
      <c r="AQ320">
        <f t="shared" si="61"/>
        <v>0</v>
      </c>
      <c r="AR320">
        <f t="shared" si="74"/>
        <v>0</v>
      </c>
    </row>
    <row r="321" spans="1:44" x14ac:dyDescent="0.25">
      <c r="A321" t="s">
        <v>369</v>
      </c>
      <c r="B321">
        <v>0</v>
      </c>
      <c r="C321" t="s">
        <v>5</v>
      </c>
      <c r="E321" t="s">
        <v>43</v>
      </c>
      <c r="F321" t="s">
        <v>2</v>
      </c>
      <c r="I321" s="1">
        <v>0</v>
      </c>
      <c r="J321" s="1" t="s">
        <v>5</v>
      </c>
      <c r="K321" s="1"/>
      <c r="L321" s="1" t="s">
        <v>43</v>
      </c>
      <c r="M321" s="1" t="b">
        <v>1</v>
      </c>
      <c r="N321" s="1"/>
      <c r="O321">
        <v>1</v>
      </c>
      <c r="P321">
        <v>1</v>
      </c>
      <c r="Q321">
        <v>1</v>
      </c>
      <c r="R321" s="1">
        <f t="shared" si="62"/>
        <v>1</v>
      </c>
      <c r="S321" s="1">
        <f t="shared" si="63"/>
        <v>0</v>
      </c>
      <c r="T321" s="1">
        <f t="shared" si="64"/>
        <v>1</v>
      </c>
      <c r="U321" s="1">
        <f t="shared" si="65"/>
        <v>1</v>
      </c>
      <c r="V321" s="1">
        <f t="shared" si="66"/>
        <v>5</v>
      </c>
      <c r="W321" s="1" t="str">
        <f t="shared" si="67"/>
        <v>DSacF</v>
      </c>
      <c r="X321" t="s">
        <v>149</v>
      </c>
      <c r="Y321" t="s">
        <v>149</v>
      </c>
      <c r="AB321">
        <v>4</v>
      </c>
      <c r="AI321">
        <v>4</v>
      </c>
      <c r="AJ321">
        <f t="shared" si="68"/>
        <v>101</v>
      </c>
      <c r="AK321">
        <f t="shared" si="69"/>
        <v>1</v>
      </c>
      <c r="AL321">
        <f t="shared" si="70"/>
        <v>5</v>
      </c>
      <c r="AM321">
        <f t="shared" si="60"/>
        <v>1</v>
      </c>
      <c r="AN321">
        <f t="shared" si="71"/>
        <v>5</v>
      </c>
      <c r="AO321">
        <f t="shared" si="72"/>
        <v>1</v>
      </c>
      <c r="AP321">
        <f t="shared" si="73"/>
        <v>0</v>
      </c>
      <c r="AQ321">
        <f t="shared" si="61"/>
        <v>0</v>
      </c>
      <c r="AR321">
        <f t="shared" si="74"/>
        <v>0</v>
      </c>
    </row>
    <row r="322" spans="1:44" x14ac:dyDescent="0.25">
      <c r="A322" t="s">
        <v>370</v>
      </c>
      <c r="B322">
        <v>0</v>
      </c>
      <c r="D322" t="s">
        <v>7</v>
      </c>
      <c r="E322" t="s">
        <v>43</v>
      </c>
      <c r="H322" t="s">
        <v>3</v>
      </c>
      <c r="I322" s="1">
        <v>0</v>
      </c>
      <c r="J322" s="1"/>
      <c r="K322" s="1" t="s">
        <v>7</v>
      </c>
      <c r="L322" s="1" t="s">
        <v>43</v>
      </c>
      <c r="M322" s="1" t="b">
        <v>1</v>
      </c>
      <c r="N322" s="1"/>
      <c r="O322">
        <v>1</v>
      </c>
      <c r="P322">
        <v>1</v>
      </c>
      <c r="Q322">
        <v>3</v>
      </c>
      <c r="R322" s="1">
        <f t="shared" si="62"/>
        <v>1</v>
      </c>
      <c r="S322" s="1">
        <f t="shared" si="63"/>
        <v>0</v>
      </c>
      <c r="T322" s="1">
        <f t="shared" si="64"/>
        <v>1</v>
      </c>
      <c r="U322" s="1">
        <f t="shared" si="65"/>
        <v>1</v>
      </c>
      <c r="V322" s="1">
        <f t="shared" si="66"/>
        <v>6</v>
      </c>
      <c r="W322" s="1" t="str">
        <f t="shared" si="67"/>
        <v>DSacF</v>
      </c>
      <c r="X322" t="s">
        <v>149</v>
      </c>
      <c r="Y322" t="s">
        <v>149</v>
      </c>
      <c r="AB322">
        <v>4</v>
      </c>
      <c r="AI322">
        <v>4</v>
      </c>
      <c r="AJ322">
        <f t="shared" si="68"/>
        <v>110</v>
      </c>
      <c r="AK322">
        <f t="shared" si="69"/>
        <v>100</v>
      </c>
      <c r="AL322">
        <f t="shared" si="70"/>
        <v>6</v>
      </c>
      <c r="AM322">
        <f t="shared" si="60"/>
        <v>3</v>
      </c>
      <c r="AN322">
        <f t="shared" si="71"/>
        <v>6</v>
      </c>
      <c r="AO322">
        <f t="shared" si="72"/>
        <v>3</v>
      </c>
      <c r="AP322">
        <f t="shared" si="73"/>
        <v>0</v>
      </c>
      <c r="AQ322">
        <f t="shared" si="61"/>
        <v>0</v>
      </c>
      <c r="AR322">
        <f t="shared" si="74"/>
        <v>0</v>
      </c>
    </row>
    <row r="323" spans="1:44" x14ac:dyDescent="0.25">
      <c r="A323" t="s">
        <v>371</v>
      </c>
      <c r="B323">
        <v>0</v>
      </c>
      <c r="C323" t="s">
        <v>5</v>
      </c>
      <c r="D323" t="s">
        <v>7</v>
      </c>
      <c r="E323" t="s">
        <v>43</v>
      </c>
      <c r="F323" t="s">
        <v>2</v>
      </c>
      <c r="H323" t="s">
        <v>3</v>
      </c>
      <c r="I323" s="1">
        <v>0</v>
      </c>
      <c r="J323" s="1" t="s">
        <v>5</v>
      </c>
      <c r="K323" s="1" t="s">
        <v>7</v>
      </c>
      <c r="L323" s="1" t="s">
        <v>43</v>
      </c>
      <c r="M323" s="1" t="b">
        <v>1</v>
      </c>
      <c r="N323" s="1"/>
      <c r="O323">
        <v>1</v>
      </c>
      <c r="P323">
        <v>1</v>
      </c>
      <c r="Q323">
        <v>5</v>
      </c>
      <c r="R323" s="1">
        <f t="shared" si="62"/>
        <v>1</v>
      </c>
      <c r="S323" s="1">
        <f t="shared" si="63"/>
        <v>0</v>
      </c>
      <c r="T323" s="1">
        <f t="shared" si="64"/>
        <v>1</v>
      </c>
      <c r="U323" s="1">
        <f t="shared" si="65"/>
        <v>1</v>
      </c>
      <c r="V323" s="1">
        <f t="shared" si="66"/>
        <v>7</v>
      </c>
      <c r="W323" s="1" t="str">
        <f t="shared" si="67"/>
        <v>DSacF</v>
      </c>
      <c r="X323" t="s">
        <v>149</v>
      </c>
      <c r="Y323" t="s">
        <v>149</v>
      </c>
      <c r="AB323">
        <v>4</v>
      </c>
      <c r="AI323">
        <v>4</v>
      </c>
      <c r="AJ323">
        <f t="shared" si="68"/>
        <v>111</v>
      </c>
      <c r="AK323">
        <f t="shared" si="69"/>
        <v>101</v>
      </c>
      <c r="AL323">
        <f t="shared" si="70"/>
        <v>7</v>
      </c>
      <c r="AM323">
        <f t="shared" ref="AM323:AM386" si="75">INDEX($AU$3:$AU$10,MATCH(AK323,$AT$3:$AT$10,0))</f>
        <v>5</v>
      </c>
      <c r="AN323">
        <f t="shared" si="71"/>
        <v>7</v>
      </c>
      <c r="AO323">
        <f t="shared" si="72"/>
        <v>5</v>
      </c>
      <c r="AP323">
        <f t="shared" si="73"/>
        <v>0</v>
      </c>
      <c r="AQ323">
        <f t="shared" ref="AQ323:AQ386" si="76">N(AM323&lt;&gt;AO323)</f>
        <v>0</v>
      </c>
      <c r="AR323">
        <f t="shared" si="74"/>
        <v>0</v>
      </c>
    </row>
    <row r="324" spans="1:44" x14ac:dyDescent="0.25">
      <c r="A324" t="s">
        <v>372</v>
      </c>
      <c r="B324">
        <v>0</v>
      </c>
      <c r="E324" t="s">
        <v>43</v>
      </c>
      <c r="I324" s="1">
        <v>0</v>
      </c>
      <c r="J324" s="1"/>
      <c r="K324" s="1"/>
      <c r="L324" s="1" t="s">
        <v>43</v>
      </c>
      <c r="M324" s="1" t="b">
        <v>1</v>
      </c>
      <c r="N324" s="1"/>
      <c r="O324">
        <v>1</v>
      </c>
      <c r="P324">
        <v>2</v>
      </c>
      <c r="Q324">
        <v>0</v>
      </c>
      <c r="R324" s="1">
        <f t="shared" ref="R324:R387" si="77">COUNTIF(B324:E324,"b4")</f>
        <v>1</v>
      </c>
      <c r="S324" s="1">
        <f t="shared" ref="S324:S387" si="78">VALUE(LEFT(A324,1))</f>
        <v>1</v>
      </c>
      <c r="T324" s="1">
        <f t="shared" ref="T324:T387" si="79">COUNTIF(B324:E324,0)</f>
        <v>1</v>
      </c>
      <c r="U324" s="1">
        <f t="shared" ref="U324:U387" si="80">S324+T324</f>
        <v>2</v>
      </c>
      <c r="V324" s="1">
        <f t="shared" ref="V324:V387" si="81">VALUE(_xlfn.TEXTBEFORE(_xlfn.TEXTAFTER(A324,"_"),"_"))</f>
        <v>3</v>
      </c>
      <c r="W324" s="1" t="str">
        <f t="shared" ref="W324:W387" si="82">_xlfn.TEXTAFTER(A324,"_",-1)</f>
        <v>DSacF</v>
      </c>
      <c r="X324" t="s">
        <v>149</v>
      </c>
      <c r="Y324" t="s">
        <v>149</v>
      </c>
      <c r="AB324">
        <v>4</v>
      </c>
      <c r="AI324">
        <v>4</v>
      </c>
      <c r="AJ324">
        <f t="shared" ref="AJ324:AJ387" si="83">VALUE(IF(E324&lt;&gt;"","1","0")&amp;IF(D324&lt;&gt;"","1","0")&amp;IF(C324&lt;&gt;"","1","0"))</f>
        <v>100</v>
      </c>
      <c r="AK324">
        <f t="shared" ref="AK324:AK387" si="84">VALUE(IF(H324&lt;&gt;"","1","0")&amp;IF(G324&lt;&gt;"","1","0")&amp;IF(F324&lt;&gt;"","1","0"))</f>
        <v>0</v>
      </c>
      <c r="AL324">
        <f t="shared" ref="AL324:AL387" si="85">INDEX($AU$3:$AU$10,MATCH(AJ324,$AT$3:$AT$10,0))</f>
        <v>3</v>
      </c>
      <c r="AM324">
        <f t="shared" si="75"/>
        <v>0</v>
      </c>
      <c r="AN324">
        <f t="shared" ref="AN324:AN387" si="86">VALUE(_xlfn.TEXTBEFORE(_xlfn.TEXTAFTER(A324,"_"),"_"))</f>
        <v>3</v>
      </c>
      <c r="AO324">
        <f t="shared" ref="AO324:AO387" si="87">Q324</f>
        <v>0</v>
      </c>
      <c r="AP324">
        <f t="shared" ref="AP324:AP387" si="88">N(AL324&lt;&gt;AN324)</f>
        <v>0</v>
      </c>
      <c r="AQ324">
        <f t="shared" si="76"/>
        <v>0</v>
      </c>
      <c r="AR324">
        <f t="shared" ref="AR324:AR387" si="89">N(OR(AP324,AQ324))</f>
        <v>0</v>
      </c>
    </row>
    <row r="325" spans="1:44" x14ac:dyDescent="0.25">
      <c r="A325" t="s">
        <v>373</v>
      </c>
      <c r="B325">
        <v>0</v>
      </c>
      <c r="C325" t="s">
        <v>5</v>
      </c>
      <c r="E325" t="s">
        <v>43</v>
      </c>
      <c r="F325" t="s">
        <v>2</v>
      </c>
      <c r="I325" s="1">
        <v>0</v>
      </c>
      <c r="J325" s="1" t="s">
        <v>5</v>
      </c>
      <c r="K325" s="1"/>
      <c r="L325" s="1" t="s">
        <v>43</v>
      </c>
      <c r="M325" s="1" t="b">
        <v>1</v>
      </c>
      <c r="N325" s="1"/>
      <c r="O325">
        <v>1</v>
      </c>
      <c r="P325">
        <v>2</v>
      </c>
      <c r="Q325">
        <v>1</v>
      </c>
      <c r="R325" s="1">
        <f t="shared" si="77"/>
        <v>1</v>
      </c>
      <c r="S325" s="1">
        <f t="shared" si="78"/>
        <v>1</v>
      </c>
      <c r="T325" s="1">
        <f t="shared" si="79"/>
        <v>1</v>
      </c>
      <c r="U325" s="1">
        <f t="shared" si="80"/>
        <v>2</v>
      </c>
      <c r="V325" s="1">
        <f t="shared" si="81"/>
        <v>5</v>
      </c>
      <c r="W325" s="1" t="str">
        <f t="shared" si="82"/>
        <v>DSacF</v>
      </c>
      <c r="X325" t="s">
        <v>149</v>
      </c>
      <c r="Y325" t="s">
        <v>149</v>
      </c>
      <c r="AB325">
        <v>4</v>
      </c>
      <c r="AI325">
        <v>4</v>
      </c>
      <c r="AJ325">
        <f t="shared" si="83"/>
        <v>101</v>
      </c>
      <c r="AK325">
        <f t="shared" si="84"/>
        <v>1</v>
      </c>
      <c r="AL325">
        <f t="shared" si="85"/>
        <v>5</v>
      </c>
      <c r="AM325">
        <f t="shared" si="75"/>
        <v>1</v>
      </c>
      <c r="AN325">
        <f t="shared" si="86"/>
        <v>5</v>
      </c>
      <c r="AO325">
        <f t="shared" si="87"/>
        <v>1</v>
      </c>
      <c r="AP325">
        <f t="shared" si="88"/>
        <v>0</v>
      </c>
      <c r="AQ325">
        <f t="shared" si="76"/>
        <v>0</v>
      </c>
      <c r="AR325">
        <f t="shared" si="89"/>
        <v>0</v>
      </c>
    </row>
    <row r="326" spans="1:44" x14ac:dyDescent="0.25">
      <c r="A326" t="s">
        <v>374</v>
      </c>
      <c r="B326">
        <v>0</v>
      </c>
      <c r="D326" t="s">
        <v>7</v>
      </c>
      <c r="E326" t="s">
        <v>43</v>
      </c>
      <c r="H326" t="s">
        <v>3</v>
      </c>
      <c r="I326" s="1">
        <v>0</v>
      </c>
      <c r="J326" s="1"/>
      <c r="K326" s="1" t="s">
        <v>7</v>
      </c>
      <c r="L326" s="1" t="s">
        <v>43</v>
      </c>
      <c r="M326" s="1" t="b">
        <v>1</v>
      </c>
      <c r="N326" s="1"/>
      <c r="O326">
        <v>1</v>
      </c>
      <c r="P326">
        <v>2</v>
      </c>
      <c r="Q326">
        <v>3</v>
      </c>
      <c r="R326" s="1">
        <f t="shared" si="77"/>
        <v>1</v>
      </c>
      <c r="S326" s="1">
        <f t="shared" si="78"/>
        <v>1</v>
      </c>
      <c r="T326" s="1">
        <f t="shared" si="79"/>
        <v>1</v>
      </c>
      <c r="U326" s="1">
        <f t="shared" si="80"/>
        <v>2</v>
      </c>
      <c r="V326" s="1">
        <f t="shared" si="81"/>
        <v>6</v>
      </c>
      <c r="W326" s="1" t="str">
        <f t="shared" si="82"/>
        <v>DSacF</v>
      </c>
      <c r="X326" t="s">
        <v>149</v>
      </c>
      <c r="Y326" t="s">
        <v>149</v>
      </c>
      <c r="AB326">
        <v>4</v>
      </c>
      <c r="AI326">
        <v>4</v>
      </c>
      <c r="AJ326">
        <f t="shared" si="83"/>
        <v>110</v>
      </c>
      <c r="AK326">
        <f t="shared" si="84"/>
        <v>100</v>
      </c>
      <c r="AL326">
        <f t="shared" si="85"/>
        <v>6</v>
      </c>
      <c r="AM326">
        <f t="shared" si="75"/>
        <v>3</v>
      </c>
      <c r="AN326">
        <f t="shared" si="86"/>
        <v>6</v>
      </c>
      <c r="AO326">
        <f t="shared" si="87"/>
        <v>3</v>
      </c>
      <c r="AP326">
        <f t="shared" si="88"/>
        <v>0</v>
      </c>
      <c r="AQ326">
        <f t="shared" si="76"/>
        <v>0</v>
      </c>
      <c r="AR326">
        <f t="shared" si="89"/>
        <v>0</v>
      </c>
    </row>
    <row r="327" spans="1:44" x14ac:dyDescent="0.25">
      <c r="A327" t="s">
        <v>375</v>
      </c>
      <c r="B327">
        <v>0</v>
      </c>
      <c r="C327" t="s">
        <v>5</v>
      </c>
      <c r="D327" t="s">
        <v>7</v>
      </c>
      <c r="E327" t="s">
        <v>43</v>
      </c>
      <c r="F327" t="s">
        <v>2</v>
      </c>
      <c r="H327" t="s">
        <v>3</v>
      </c>
      <c r="I327" s="1">
        <v>0</v>
      </c>
      <c r="J327" s="1" t="s">
        <v>5</v>
      </c>
      <c r="K327" s="1" t="s">
        <v>7</v>
      </c>
      <c r="L327" s="1" t="s">
        <v>43</v>
      </c>
      <c r="M327" s="1" t="b">
        <v>1</v>
      </c>
      <c r="N327" s="1"/>
      <c r="O327">
        <v>1</v>
      </c>
      <c r="P327">
        <v>2</v>
      </c>
      <c r="Q327">
        <v>5</v>
      </c>
      <c r="R327" s="1">
        <f t="shared" si="77"/>
        <v>1</v>
      </c>
      <c r="S327" s="1">
        <f t="shared" si="78"/>
        <v>1</v>
      </c>
      <c r="T327" s="1">
        <f t="shared" si="79"/>
        <v>1</v>
      </c>
      <c r="U327" s="1">
        <f t="shared" si="80"/>
        <v>2</v>
      </c>
      <c r="V327" s="1">
        <f t="shared" si="81"/>
        <v>7</v>
      </c>
      <c r="W327" s="1" t="str">
        <f t="shared" si="82"/>
        <v>DSacF</v>
      </c>
      <c r="X327" t="s">
        <v>149</v>
      </c>
      <c r="Y327" t="s">
        <v>149</v>
      </c>
      <c r="AB327">
        <v>4</v>
      </c>
      <c r="AI327">
        <v>4</v>
      </c>
      <c r="AJ327">
        <f t="shared" si="83"/>
        <v>111</v>
      </c>
      <c r="AK327">
        <f t="shared" si="84"/>
        <v>101</v>
      </c>
      <c r="AL327">
        <f t="shared" si="85"/>
        <v>7</v>
      </c>
      <c r="AM327">
        <f t="shared" si="75"/>
        <v>5</v>
      </c>
      <c r="AN327">
        <f t="shared" si="86"/>
        <v>7</v>
      </c>
      <c r="AO327">
        <f t="shared" si="87"/>
        <v>5</v>
      </c>
      <c r="AP327">
        <f t="shared" si="88"/>
        <v>0</v>
      </c>
      <c r="AQ327">
        <f t="shared" si="76"/>
        <v>0</v>
      </c>
      <c r="AR327">
        <f t="shared" si="89"/>
        <v>0</v>
      </c>
    </row>
    <row r="328" spans="1:44" x14ac:dyDescent="0.25">
      <c r="A328" t="s">
        <v>376</v>
      </c>
      <c r="B328" t="s">
        <v>5</v>
      </c>
      <c r="C328">
        <v>0</v>
      </c>
      <c r="F328" t="s">
        <v>1</v>
      </c>
      <c r="I328" s="1" t="s">
        <v>5</v>
      </c>
      <c r="J328" s="1">
        <v>0</v>
      </c>
      <c r="K328" s="1"/>
      <c r="L328" s="1"/>
      <c r="M328" s="1" t="b">
        <v>0</v>
      </c>
      <c r="N328" s="1"/>
      <c r="O328">
        <v>0</v>
      </c>
      <c r="P328">
        <v>1</v>
      </c>
      <c r="Q328">
        <v>1</v>
      </c>
      <c r="R328" s="1">
        <f t="shared" si="77"/>
        <v>0</v>
      </c>
      <c r="S328" s="1">
        <f t="shared" si="78"/>
        <v>0</v>
      </c>
      <c r="T328" s="1">
        <f t="shared" si="79"/>
        <v>1</v>
      </c>
      <c r="U328" s="1">
        <f t="shared" si="80"/>
        <v>1</v>
      </c>
      <c r="V328" s="1">
        <f t="shared" si="81"/>
        <v>1</v>
      </c>
      <c r="W328" s="1" t="str">
        <f t="shared" si="82"/>
        <v>FC</v>
      </c>
      <c r="X328" t="s">
        <v>39</v>
      </c>
      <c r="Y328" t="s">
        <v>149</v>
      </c>
      <c r="AB328">
        <v>2</v>
      </c>
      <c r="AJ328">
        <f t="shared" si="83"/>
        <v>1</v>
      </c>
      <c r="AK328">
        <f t="shared" si="84"/>
        <v>1</v>
      </c>
      <c r="AL328">
        <f t="shared" si="85"/>
        <v>1</v>
      </c>
      <c r="AM328">
        <f t="shared" si="75"/>
        <v>1</v>
      </c>
      <c r="AN328">
        <f t="shared" si="86"/>
        <v>1</v>
      </c>
      <c r="AO328">
        <f t="shared" si="87"/>
        <v>1</v>
      </c>
      <c r="AP328">
        <f t="shared" si="88"/>
        <v>0</v>
      </c>
      <c r="AQ328">
        <f t="shared" si="76"/>
        <v>0</v>
      </c>
      <c r="AR328">
        <f t="shared" si="89"/>
        <v>0</v>
      </c>
    </row>
    <row r="329" spans="1:44" x14ac:dyDescent="0.25">
      <c r="A329" t="s">
        <v>377</v>
      </c>
      <c r="B329" t="s">
        <v>5</v>
      </c>
      <c r="C329">
        <v>0</v>
      </c>
      <c r="D329" t="s">
        <v>7</v>
      </c>
      <c r="F329" t="s">
        <v>1</v>
      </c>
      <c r="H329" t="s">
        <v>3</v>
      </c>
      <c r="I329" s="1" t="s">
        <v>5</v>
      </c>
      <c r="J329" s="1">
        <v>0</v>
      </c>
      <c r="K329" s="1" t="s">
        <v>7</v>
      </c>
      <c r="L329" s="1"/>
      <c r="M329" s="1" t="b">
        <v>0</v>
      </c>
      <c r="N329" s="1"/>
      <c r="O329">
        <v>0</v>
      </c>
      <c r="P329">
        <v>1</v>
      </c>
      <c r="Q329">
        <v>5</v>
      </c>
      <c r="R329" s="1">
        <f t="shared" si="77"/>
        <v>0</v>
      </c>
      <c r="S329" s="1">
        <f t="shared" si="78"/>
        <v>0</v>
      </c>
      <c r="T329" s="1">
        <f t="shared" si="79"/>
        <v>1</v>
      </c>
      <c r="U329" s="1">
        <f t="shared" si="80"/>
        <v>1</v>
      </c>
      <c r="V329" s="1">
        <f t="shared" si="81"/>
        <v>4</v>
      </c>
      <c r="W329" s="1" t="str">
        <f t="shared" si="82"/>
        <v>FC</v>
      </c>
      <c r="X329" t="s">
        <v>39</v>
      </c>
      <c r="Y329" t="s">
        <v>149</v>
      </c>
      <c r="AB329">
        <v>2</v>
      </c>
      <c r="AJ329">
        <f t="shared" si="83"/>
        <v>11</v>
      </c>
      <c r="AK329">
        <f t="shared" si="84"/>
        <v>101</v>
      </c>
      <c r="AL329">
        <f t="shared" si="85"/>
        <v>4</v>
      </c>
      <c r="AM329">
        <f t="shared" si="75"/>
        <v>5</v>
      </c>
      <c r="AN329">
        <f t="shared" si="86"/>
        <v>4</v>
      </c>
      <c r="AO329">
        <f t="shared" si="87"/>
        <v>5</v>
      </c>
      <c r="AP329">
        <f t="shared" si="88"/>
        <v>0</v>
      </c>
      <c r="AQ329">
        <f t="shared" si="76"/>
        <v>0</v>
      </c>
      <c r="AR329">
        <f t="shared" si="89"/>
        <v>0</v>
      </c>
    </row>
    <row r="330" spans="1:44" x14ac:dyDescent="0.25">
      <c r="A330" t="s">
        <v>378</v>
      </c>
      <c r="B330" t="s">
        <v>5</v>
      </c>
      <c r="C330">
        <v>0</v>
      </c>
      <c r="E330" t="s">
        <v>7</v>
      </c>
      <c r="F330" t="s">
        <v>1</v>
      </c>
      <c r="H330" t="s">
        <v>4</v>
      </c>
      <c r="I330" s="1" t="s">
        <v>5</v>
      </c>
      <c r="J330" s="1">
        <v>0</v>
      </c>
      <c r="K330" s="1"/>
      <c r="L330" s="1" t="s">
        <v>7</v>
      </c>
      <c r="M330" s="1" t="b">
        <v>0</v>
      </c>
      <c r="N330" s="1"/>
      <c r="O330">
        <v>0</v>
      </c>
      <c r="P330">
        <v>1</v>
      </c>
      <c r="Q330">
        <v>5</v>
      </c>
      <c r="R330" s="1">
        <f t="shared" si="77"/>
        <v>0</v>
      </c>
      <c r="S330" s="1">
        <f t="shared" si="78"/>
        <v>0</v>
      </c>
      <c r="T330" s="1">
        <f t="shared" si="79"/>
        <v>1</v>
      </c>
      <c r="U330" s="1">
        <f t="shared" si="80"/>
        <v>1</v>
      </c>
      <c r="V330" s="1">
        <f t="shared" si="81"/>
        <v>5</v>
      </c>
      <c r="W330" s="1" t="str">
        <f t="shared" si="82"/>
        <v>FC</v>
      </c>
      <c r="X330" t="s">
        <v>39</v>
      </c>
      <c r="Y330" t="s">
        <v>149</v>
      </c>
      <c r="AB330">
        <v>2</v>
      </c>
      <c r="AJ330">
        <f t="shared" si="83"/>
        <v>101</v>
      </c>
      <c r="AK330">
        <f t="shared" si="84"/>
        <v>101</v>
      </c>
      <c r="AL330">
        <f t="shared" si="85"/>
        <v>5</v>
      </c>
      <c r="AM330">
        <f t="shared" si="75"/>
        <v>5</v>
      </c>
      <c r="AN330">
        <f t="shared" si="86"/>
        <v>5</v>
      </c>
      <c r="AO330">
        <f t="shared" si="87"/>
        <v>5</v>
      </c>
      <c r="AP330">
        <f t="shared" si="88"/>
        <v>0</v>
      </c>
      <c r="AQ330">
        <f t="shared" si="76"/>
        <v>0</v>
      </c>
      <c r="AR330">
        <f t="shared" si="89"/>
        <v>0</v>
      </c>
    </row>
    <row r="331" spans="1:44" x14ac:dyDescent="0.25">
      <c r="A331" t="s">
        <v>379</v>
      </c>
      <c r="B331" t="s">
        <v>5</v>
      </c>
      <c r="C331">
        <v>0</v>
      </c>
      <c r="F331" t="s">
        <v>1</v>
      </c>
      <c r="I331" s="1" t="s">
        <v>5</v>
      </c>
      <c r="J331" s="1">
        <v>0</v>
      </c>
      <c r="K331" s="1"/>
      <c r="L331" s="1"/>
      <c r="M331" s="1" t="b">
        <v>0</v>
      </c>
      <c r="N331" s="1"/>
      <c r="O331">
        <v>0</v>
      </c>
      <c r="P331">
        <v>2</v>
      </c>
      <c r="Q331">
        <v>1</v>
      </c>
      <c r="R331" s="1">
        <f t="shared" si="77"/>
        <v>0</v>
      </c>
      <c r="S331" s="1">
        <f t="shared" si="78"/>
        <v>1</v>
      </c>
      <c r="T331" s="1">
        <f t="shared" si="79"/>
        <v>1</v>
      </c>
      <c r="U331" s="1">
        <f t="shared" si="80"/>
        <v>2</v>
      </c>
      <c r="V331" s="1">
        <f t="shared" si="81"/>
        <v>1</v>
      </c>
      <c r="W331" s="1" t="str">
        <f t="shared" si="82"/>
        <v>FC</v>
      </c>
      <c r="X331" t="s">
        <v>39</v>
      </c>
      <c r="Y331" t="s">
        <v>149</v>
      </c>
      <c r="AB331">
        <v>2</v>
      </c>
      <c r="AJ331">
        <f t="shared" si="83"/>
        <v>1</v>
      </c>
      <c r="AK331">
        <f t="shared" si="84"/>
        <v>1</v>
      </c>
      <c r="AL331">
        <f t="shared" si="85"/>
        <v>1</v>
      </c>
      <c r="AM331">
        <f t="shared" si="75"/>
        <v>1</v>
      </c>
      <c r="AN331">
        <f t="shared" si="86"/>
        <v>1</v>
      </c>
      <c r="AO331">
        <f t="shared" si="87"/>
        <v>1</v>
      </c>
      <c r="AP331">
        <f t="shared" si="88"/>
        <v>0</v>
      </c>
      <c r="AQ331">
        <f t="shared" si="76"/>
        <v>0</v>
      </c>
      <c r="AR331">
        <f t="shared" si="89"/>
        <v>0</v>
      </c>
    </row>
    <row r="332" spans="1:44" x14ac:dyDescent="0.25">
      <c r="A332" t="s">
        <v>380</v>
      </c>
      <c r="B332" t="s">
        <v>5</v>
      </c>
      <c r="C332">
        <v>0</v>
      </c>
      <c r="D332" t="s">
        <v>7</v>
      </c>
      <c r="F332" t="s">
        <v>1</v>
      </c>
      <c r="H332" t="s">
        <v>3</v>
      </c>
      <c r="I332" s="1" t="s">
        <v>5</v>
      </c>
      <c r="J332" s="1">
        <v>0</v>
      </c>
      <c r="K332" s="1" t="s">
        <v>7</v>
      </c>
      <c r="L332" s="1"/>
      <c r="M332" s="1" t="b">
        <v>0</v>
      </c>
      <c r="N332" s="1"/>
      <c r="O332">
        <v>0</v>
      </c>
      <c r="P332">
        <v>2</v>
      </c>
      <c r="Q332">
        <v>5</v>
      </c>
      <c r="R332" s="1">
        <f t="shared" si="77"/>
        <v>0</v>
      </c>
      <c r="S332" s="1">
        <f t="shared" si="78"/>
        <v>1</v>
      </c>
      <c r="T332" s="1">
        <f t="shared" si="79"/>
        <v>1</v>
      </c>
      <c r="U332" s="1">
        <f t="shared" si="80"/>
        <v>2</v>
      </c>
      <c r="V332" s="1">
        <f t="shared" si="81"/>
        <v>4</v>
      </c>
      <c r="W332" s="1" t="str">
        <f t="shared" si="82"/>
        <v>FC</v>
      </c>
      <c r="X332" t="s">
        <v>39</v>
      </c>
      <c r="Y332" t="s">
        <v>149</v>
      </c>
      <c r="AB332">
        <v>2</v>
      </c>
      <c r="AJ332">
        <f t="shared" si="83"/>
        <v>11</v>
      </c>
      <c r="AK332">
        <f t="shared" si="84"/>
        <v>101</v>
      </c>
      <c r="AL332">
        <f t="shared" si="85"/>
        <v>4</v>
      </c>
      <c r="AM332">
        <f t="shared" si="75"/>
        <v>5</v>
      </c>
      <c r="AN332">
        <f t="shared" si="86"/>
        <v>4</v>
      </c>
      <c r="AO332">
        <f t="shared" si="87"/>
        <v>5</v>
      </c>
      <c r="AP332">
        <f t="shared" si="88"/>
        <v>0</v>
      </c>
      <c r="AQ332">
        <f t="shared" si="76"/>
        <v>0</v>
      </c>
      <c r="AR332">
        <f t="shared" si="89"/>
        <v>0</v>
      </c>
    </row>
    <row r="333" spans="1:44" x14ac:dyDescent="0.25">
      <c r="A333" t="s">
        <v>381</v>
      </c>
      <c r="B333" t="s">
        <v>5</v>
      </c>
      <c r="C333">
        <v>0</v>
      </c>
      <c r="E333" t="s">
        <v>7</v>
      </c>
      <c r="F333" t="s">
        <v>1</v>
      </c>
      <c r="H333" t="s">
        <v>4</v>
      </c>
      <c r="I333" s="1" t="s">
        <v>5</v>
      </c>
      <c r="J333" s="1">
        <v>0</v>
      </c>
      <c r="K333" s="1"/>
      <c r="L333" s="1" t="s">
        <v>7</v>
      </c>
      <c r="M333" s="1" t="b">
        <v>0</v>
      </c>
      <c r="N333" s="1"/>
      <c r="O333">
        <v>0</v>
      </c>
      <c r="P333">
        <v>2</v>
      </c>
      <c r="Q333">
        <v>5</v>
      </c>
      <c r="R333" s="1">
        <f t="shared" si="77"/>
        <v>0</v>
      </c>
      <c r="S333" s="1">
        <f t="shared" si="78"/>
        <v>1</v>
      </c>
      <c r="T333" s="1">
        <f t="shared" si="79"/>
        <v>1</v>
      </c>
      <c r="U333" s="1">
        <f t="shared" si="80"/>
        <v>2</v>
      </c>
      <c r="V333" s="1">
        <f t="shared" si="81"/>
        <v>5</v>
      </c>
      <c r="W333" s="1" t="str">
        <f t="shared" si="82"/>
        <v>FC</v>
      </c>
      <c r="X333" t="s">
        <v>39</v>
      </c>
      <c r="Y333" t="s">
        <v>149</v>
      </c>
      <c r="AB333">
        <v>2</v>
      </c>
      <c r="AJ333">
        <f t="shared" si="83"/>
        <v>101</v>
      </c>
      <c r="AK333">
        <f t="shared" si="84"/>
        <v>101</v>
      </c>
      <c r="AL333">
        <f t="shared" si="85"/>
        <v>5</v>
      </c>
      <c r="AM333">
        <f t="shared" si="75"/>
        <v>5</v>
      </c>
      <c r="AN333">
        <f t="shared" si="86"/>
        <v>5</v>
      </c>
      <c r="AO333">
        <f t="shared" si="87"/>
        <v>5</v>
      </c>
      <c r="AP333">
        <f t="shared" si="88"/>
        <v>0</v>
      </c>
      <c r="AQ333">
        <f t="shared" si="76"/>
        <v>0</v>
      </c>
      <c r="AR333">
        <f t="shared" si="89"/>
        <v>0</v>
      </c>
    </row>
    <row r="334" spans="1:44" x14ac:dyDescent="0.25">
      <c r="A334" t="s">
        <v>382</v>
      </c>
      <c r="B334" t="s">
        <v>5</v>
      </c>
      <c r="C334" t="s">
        <v>6</v>
      </c>
      <c r="D334">
        <v>0</v>
      </c>
      <c r="F334" t="s">
        <v>1</v>
      </c>
      <c r="G334" t="s">
        <v>2</v>
      </c>
      <c r="I334" s="1" t="s">
        <v>5</v>
      </c>
      <c r="J334" s="1" t="s">
        <v>6</v>
      </c>
      <c r="K334" s="1">
        <v>0</v>
      </c>
      <c r="L334" s="1"/>
      <c r="M334" s="1" t="b">
        <v>0</v>
      </c>
      <c r="N334" s="1"/>
      <c r="O334">
        <v>0</v>
      </c>
      <c r="P334">
        <v>1</v>
      </c>
      <c r="Q334">
        <v>4</v>
      </c>
      <c r="R334" s="1">
        <f t="shared" si="77"/>
        <v>0</v>
      </c>
      <c r="S334" s="1">
        <f t="shared" si="78"/>
        <v>0</v>
      </c>
      <c r="T334" s="1">
        <f t="shared" si="79"/>
        <v>1</v>
      </c>
      <c r="U334" s="1">
        <f t="shared" si="80"/>
        <v>1</v>
      </c>
      <c r="V334" s="1">
        <f t="shared" si="81"/>
        <v>4</v>
      </c>
      <c r="W334" s="1" t="str">
        <f t="shared" si="82"/>
        <v>FC3rd</v>
      </c>
      <c r="X334" t="s">
        <v>39</v>
      </c>
      <c r="Y334" t="s">
        <v>149</v>
      </c>
      <c r="AB334">
        <v>3</v>
      </c>
      <c r="AJ334">
        <f t="shared" si="83"/>
        <v>11</v>
      </c>
      <c r="AK334">
        <f t="shared" si="84"/>
        <v>11</v>
      </c>
      <c r="AL334">
        <f t="shared" si="85"/>
        <v>4</v>
      </c>
      <c r="AM334">
        <f t="shared" si="75"/>
        <v>4</v>
      </c>
      <c r="AN334">
        <f t="shared" si="86"/>
        <v>4</v>
      </c>
      <c r="AO334">
        <f t="shared" si="87"/>
        <v>4</v>
      </c>
      <c r="AP334">
        <f t="shared" si="88"/>
        <v>0</v>
      </c>
      <c r="AQ334">
        <f t="shared" si="76"/>
        <v>0</v>
      </c>
      <c r="AR334">
        <f t="shared" si="89"/>
        <v>0</v>
      </c>
    </row>
    <row r="335" spans="1:44" x14ac:dyDescent="0.25">
      <c r="A335" t="s">
        <v>383</v>
      </c>
      <c r="B335" t="s">
        <v>5</v>
      </c>
      <c r="C335" t="s">
        <v>6</v>
      </c>
      <c r="D335">
        <v>0</v>
      </c>
      <c r="F335" t="s">
        <v>1</v>
      </c>
      <c r="G335" t="s">
        <v>2</v>
      </c>
      <c r="I335" s="1" t="s">
        <v>5</v>
      </c>
      <c r="J335" s="1" t="s">
        <v>6</v>
      </c>
      <c r="K335" s="1">
        <v>0</v>
      </c>
      <c r="L335" s="1"/>
      <c r="M335" s="1" t="b">
        <v>0</v>
      </c>
      <c r="N335" s="1"/>
      <c r="O335">
        <v>0</v>
      </c>
      <c r="P335">
        <v>2</v>
      </c>
      <c r="Q335">
        <v>4</v>
      </c>
      <c r="R335" s="1">
        <f t="shared" si="77"/>
        <v>0</v>
      </c>
      <c r="S335" s="1">
        <f t="shared" si="78"/>
        <v>1</v>
      </c>
      <c r="T335" s="1">
        <f t="shared" si="79"/>
        <v>1</v>
      </c>
      <c r="U335" s="1">
        <f t="shared" si="80"/>
        <v>2</v>
      </c>
      <c r="V335" s="1">
        <f t="shared" si="81"/>
        <v>4</v>
      </c>
      <c r="W335" s="1" t="str">
        <f t="shared" si="82"/>
        <v>FC3rd</v>
      </c>
      <c r="X335" t="s">
        <v>39</v>
      </c>
      <c r="Y335" t="s">
        <v>149</v>
      </c>
      <c r="AB335">
        <v>3</v>
      </c>
      <c r="AJ335">
        <f t="shared" si="83"/>
        <v>11</v>
      </c>
      <c r="AK335">
        <f t="shared" si="84"/>
        <v>11</v>
      </c>
      <c r="AL335">
        <f t="shared" si="85"/>
        <v>4</v>
      </c>
      <c r="AM335">
        <f t="shared" si="75"/>
        <v>4</v>
      </c>
      <c r="AN335">
        <f t="shared" si="86"/>
        <v>4</v>
      </c>
      <c r="AO335">
        <f t="shared" si="87"/>
        <v>4</v>
      </c>
      <c r="AP335">
        <f t="shared" si="88"/>
        <v>0</v>
      </c>
      <c r="AQ335">
        <f t="shared" si="76"/>
        <v>0</v>
      </c>
      <c r="AR335">
        <f t="shared" si="89"/>
        <v>0</v>
      </c>
    </row>
    <row r="336" spans="1:44" x14ac:dyDescent="0.25">
      <c r="A336" t="s">
        <v>384</v>
      </c>
      <c r="B336" t="s">
        <v>5</v>
      </c>
      <c r="C336" t="s">
        <v>6</v>
      </c>
      <c r="E336">
        <v>0</v>
      </c>
      <c r="F336" t="s">
        <v>1</v>
      </c>
      <c r="G336" t="s">
        <v>2</v>
      </c>
      <c r="I336" s="1" t="s">
        <v>5</v>
      </c>
      <c r="J336" s="1" t="s">
        <v>6</v>
      </c>
      <c r="K336" s="1"/>
      <c r="L336" s="1">
        <v>0</v>
      </c>
      <c r="M336" s="1" t="b">
        <v>0</v>
      </c>
      <c r="N336" s="1"/>
      <c r="O336">
        <v>0</v>
      </c>
      <c r="P336">
        <v>1</v>
      </c>
      <c r="Q336">
        <v>4</v>
      </c>
      <c r="R336" s="1">
        <f t="shared" si="77"/>
        <v>0</v>
      </c>
      <c r="S336" s="1">
        <f t="shared" si="78"/>
        <v>0</v>
      </c>
      <c r="T336" s="1">
        <f t="shared" si="79"/>
        <v>1</v>
      </c>
      <c r="U336" s="1">
        <f t="shared" si="80"/>
        <v>1</v>
      </c>
      <c r="V336" s="1">
        <f t="shared" si="81"/>
        <v>5</v>
      </c>
      <c r="W336" s="1" t="str">
        <f t="shared" si="82"/>
        <v>FCH</v>
      </c>
      <c r="X336" t="s">
        <v>39</v>
      </c>
      <c r="Y336" t="s">
        <v>149</v>
      </c>
      <c r="AB336">
        <v>4</v>
      </c>
      <c r="AJ336">
        <f t="shared" si="83"/>
        <v>101</v>
      </c>
      <c r="AK336">
        <f t="shared" si="84"/>
        <v>11</v>
      </c>
      <c r="AL336">
        <f t="shared" si="85"/>
        <v>5</v>
      </c>
      <c r="AM336">
        <f t="shared" si="75"/>
        <v>4</v>
      </c>
      <c r="AN336">
        <f t="shared" si="86"/>
        <v>5</v>
      </c>
      <c r="AO336">
        <f t="shared" si="87"/>
        <v>4</v>
      </c>
      <c r="AP336">
        <f t="shared" si="88"/>
        <v>0</v>
      </c>
      <c r="AQ336">
        <f t="shared" si="76"/>
        <v>0</v>
      </c>
      <c r="AR336">
        <f t="shared" si="89"/>
        <v>0</v>
      </c>
    </row>
    <row r="337" spans="1:44" x14ac:dyDescent="0.25">
      <c r="A337" t="s">
        <v>385</v>
      </c>
      <c r="B337" t="s">
        <v>5</v>
      </c>
      <c r="C337" t="s">
        <v>6</v>
      </c>
      <c r="D337" t="s">
        <v>7</v>
      </c>
      <c r="E337">
        <v>0</v>
      </c>
      <c r="F337" t="s">
        <v>1</v>
      </c>
      <c r="G337" t="s">
        <v>2</v>
      </c>
      <c r="H337" t="s">
        <v>3</v>
      </c>
      <c r="I337" s="1" t="s">
        <v>5</v>
      </c>
      <c r="J337" s="1" t="s">
        <v>6</v>
      </c>
      <c r="K337" s="1" t="s">
        <v>7</v>
      </c>
      <c r="L337" s="1">
        <v>0</v>
      </c>
      <c r="M337" s="1" t="b">
        <v>0</v>
      </c>
      <c r="N337" s="1"/>
      <c r="O337">
        <v>0</v>
      </c>
      <c r="P337">
        <v>1</v>
      </c>
      <c r="Q337">
        <v>7</v>
      </c>
      <c r="R337" s="1">
        <f t="shared" si="77"/>
        <v>0</v>
      </c>
      <c r="S337" s="1">
        <f t="shared" si="78"/>
        <v>0</v>
      </c>
      <c r="T337" s="1">
        <f t="shared" si="79"/>
        <v>1</v>
      </c>
      <c r="U337" s="1">
        <f t="shared" si="80"/>
        <v>1</v>
      </c>
      <c r="V337" s="1">
        <f t="shared" si="81"/>
        <v>7</v>
      </c>
      <c r="W337" s="1" t="str">
        <f t="shared" si="82"/>
        <v>FCH</v>
      </c>
      <c r="X337" t="s">
        <v>39</v>
      </c>
      <c r="Y337" t="s">
        <v>149</v>
      </c>
      <c r="AB337">
        <v>4</v>
      </c>
      <c r="AJ337">
        <f t="shared" si="83"/>
        <v>111</v>
      </c>
      <c r="AK337">
        <f t="shared" si="84"/>
        <v>111</v>
      </c>
      <c r="AL337">
        <f t="shared" si="85"/>
        <v>7</v>
      </c>
      <c r="AM337">
        <f t="shared" si="75"/>
        <v>7</v>
      </c>
      <c r="AN337">
        <f t="shared" si="86"/>
        <v>7</v>
      </c>
      <c r="AO337">
        <f t="shared" si="87"/>
        <v>7</v>
      </c>
      <c r="AP337">
        <f t="shared" si="88"/>
        <v>0</v>
      </c>
      <c r="AQ337">
        <f t="shared" si="76"/>
        <v>0</v>
      </c>
      <c r="AR337">
        <f t="shared" si="89"/>
        <v>0</v>
      </c>
    </row>
    <row r="338" spans="1:44" x14ac:dyDescent="0.25">
      <c r="A338" t="s">
        <v>386</v>
      </c>
      <c r="B338" t="s">
        <v>5</v>
      </c>
      <c r="C338" t="s">
        <v>6</v>
      </c>
      <c r="E338">
        <v>0</v>
      </c>
      <c r="F338" t="s">
        <v>1</v>
      </c>
      <c r="G338" t="s">
        <v>2</v>
      </c>
      <c r="I338" s="1" t="s">
        <v>5</v>
      </c>
      <c r="J338" s="1" t="s">
        <v>6</v>
      </c>
      <c r="K338" s="1"/>
      <c r="L338" s="1">
        <v>0</v>
      </c>
      <c r="M338" s="1" t="b">
        <v>0</v>
      </c>
      <c r="N338" s="1"/>
      <c r="O338">
        <v>0</v>
      </c>
      <c r="P338">
        <v>2</v>
      </c>
      <c r="Q338">
        <v>4</v>
      </c>
      <c r="R338" s="1">
        <f t="shared" si="77"/>
        <v>0</v>
      </c>
      <c r="S338" s="1">
        <f t="shared" si="78"/>
        <v>1</v>
      </c>
      <c r="T338" s="1">
        <f t="shared" si="79"/>
        <v>1</v>
      </c>
      <c r="U338" s="1">
        <f t="shared" si="80"/>
        <v>2</v>
      </c>
      <c r="V338" s="1">
        <f t="shared" si="81"/>
        <v>5</v>
      </c>
      <c r="W338" s="1" t="str">
        <f t="shared" si="82"/>
        <v>FCH</v>
      </c>
      <c r="X338" t="s">
        <v>39</v>
      </c>
      <c r="Y338" t="s">
        <v>149</v>
      </c>
      <c r="AB338">
        <v>4</v>
      </c>
      <c r="AJ338">
        <f t="shared" si="83"/>
        <v>101</v>
      </c>
      <c r="AK338">
        <f t="shared" si="84"/>
        <v>11</v>
      </c>
      <c r="AL338">
        <f t="shared" si="85"/>
        <v>5</v>
      </c>
      <c r="AM338">
        <f t="shared" si="75"/>
        <v>4</v>
      </c>
      <c r="AN338">
        <f t="shared" si="86"/>
        <v>5</v>
      </c>
      <c r="AO338">
        <f t="shared" si="87"/>
        <v>4</v>
      </c>
      <c r="AP338">
        <f t="shared" si="88"/>
        <v>0</v>
      </c>
      <c r="AQ338">
        <f t="shared" si="76"/>
        <v>0</v>
      </c>
      <c r="AR338">
        <f t="shared" si="89"/>
        <v>0</v>
      </c>
    </row>
    <row r="339" spans="1:44" x14ac:dyDescent="0.25">
      <c r="A339" t="s">
        <v>387</v>
      </c>
      <c r="B339" t="s">
        <v>5</v>
      </c>
      <c r="C339" t="s">
        <v>6</v>
      </c>
      <c r="D339" t="s">
        <v>7</v>
      </c>
      <c r="E339">
        <v>0</v>
      </c>
      <c r="F339" t="s">
        <v>1</v>
      </c>
      <c r="G339" t="s">
        <v>2</v>
      </c>
      <c r="H339" t="s">
        <v>3</v>
      </c>
      <c r="I339" s="1" t="s">
        <v>5</v>
      </c>
      <c r="J339" s="1" t="s">
        <v>6</v>
      </c>
      <c r="K339" s="1" t="s">
        <v>7</v>
      </c>
      <c r="L339" s="1">
        <v>0</v>
      </c>
      <c r="M339" s="1" t="b">
        <v>0</v>
      </c>
      <c r="N339" s="1"/>
      <c r="O339">
        <v>0</v>
      </c>
      <c r="P339">
        <v>2</v>
      </c>
      <c r="Q339">
        <v>7</v>
      </c>
      <c r="R339" s="1">
        <f t="shared" si="77"/>
        <v>0</v>
      </c>
      <c r="S339" s="1">
        <f t="shared" si="78"/>
        <v>1</v>
      </c>
      <c r="T339" s="1">
        <f t="shared" si="79"/>
        <v>1</v>
      </c>
      <c r="U339" s="1">
        <f t="shared" si="80"/>
        <v>2</v>
      </c>
      <c r="V339" s="1">
        <f t="shared" si="81"/>
        <v>7</v>
      </c>
      <c r="W339" s="1" t="str">
        <f t="shared" si="82"/>
        <v>FCH</v>
      </c>
      <c r="X339" t="s">
        <v>39</v>
      </c>
      <c r="Y339" t="s">
        <v>149</v>
      </c>
      <c r="AB339">
        <v>4</v>
      </c>
      <c r="AJ339">
        <f t="shared" si="83"/>
        <v>111</v>
      </c>
      <c r="AK339">
        <f t="shared" si="84"/>
        <v>111</v>
      </c>
      <c r="AL339">
        <f t="shared" si="85"/>
        <v>7</v>
      </c>
      <c r="AM339">
        <f t="shared" si="75"/>
        <v>7</v>
      </c>
      <c r="AN339">
        <f t="shared" si="86"/>
        <v>7</v>
      </c>
      <c r="AO339">
        <f t="shared" si="87"/>
        <v>7</v>
      </c>
      <c r="AP339">
        <f t="shared" si="88"/>
        <v>0</v>
      </c>
      <c r="AQ339">
        <f t="shared" si="76"/>
        <v>0</v>
      </c>
      <c r="AR339">
        <f t="shared" si="89"/>
        <v>0</v>
      </c>
    </row>
    <row r="340" spans="1:44" x14ac:dyDescent="0.25">
      <c r="A340" t="s">
        <v>388</v>
      </c>
      <c r="B340">
        <v>0</v>
      </c>
      <c r="I340" s="1">
        <v>0</v>
      </c>
      <c r="J340" s="1"/>
      <c r="K340" s="1"/>
      <c r="L340" s="1"/>
      <c r="M340" s="1" t="b">
        <v>0</v>
      </c>
      <c r="N340" s="1"/>
      <c r="O340">
        <v>0</v>
      </c>
      <c r="P340">
        <v>1</v>
      </c>
      <c r="Q340">
        <v>0</v>
      </c>
      <c r="R340" s="1">
        <f t="shared" si="77"/>
        <v>0</v>
      </c>
      <c r="S340" s="1">
        <f t="shared" si="78"/>
        <v>0</v>
      </c>
      <c r="T340" s="1">
        <f t="shared" si="79"/>
        <v>1</v>
      </c>
      <c r="U340" s="1">
        <f t="shared" si="80"/>
        <v>1</v>
      </c>
      <c r="V340" s="1">
        <f t="shared" si="81"/>
        <v>0</v>
      </c>
      <c r="W340" s="1" t="str">
        <f t="shared" si="82"/>
        <v>FO</v>
      </c>
      <c r="X340" t="s">
        <v>39</v>
      </c>
      <c r="Y340" t="s">
        <v>149</v>
      </c>
      <c r="AJ340">
        <f t="shared" si="83"/>
        <v>0</v>
      </c>
      <c r="AK340">
        <f t="shared" si="84"/>
        <v>0</v>
      </c>
      <c r="AL340">
        <f t="shared" si="85"/>
        <v>0</v>
      </c>
      <c r="AM340">
        <f t="shared" si="75"/>
        <v>0</v>
      </c>
      <c r="AN340">
        <f t="shared" si="86"/>
        <v>0</v>
      </c>
      <c r="AO340">
        <f t="shared" si="87"/>
        <v>0</v>
      </c>
      <c r="AP340">
        <f t="shared" si="88"/>
        <v>0</v>
      </c>
      <c r="AQ340">
        <f t="shared" si="76"/>
        <v>0</v>
      </c>
      <c r="AR340">
        <f t="shared" si="89"/>
        <v>0</v>
      </c>
    </row>
    <row r="341" spans="1:44" x14ac:dyDescent="0.25">
      <c r="A341" t="s">
        <v>389</v>
      </c>
      <c r="B341">
        <v>0</v>
      </c>
      <c r="C341" t="s">
        <v>5</v>
      </c>
      <c r="F341" t="s">
        <v>2</v>
      </c>
      <c r="I341" s="1">
        <v>0</v>
      </c>
      <c r="J341" s="1" t="s">
        <v>5</v>
      </c>
      <c r="K341" s="1"/>
      <c r="L341" s="1"/>
      <c r="M341" s="1" t="b">
        <v>0</v>
      </c>
      <c r="N341" s="1"/>
      <c r="O341">
        <v>0</v>
      </c>
      <c r="P341">
        <v>1</v>
      </c>
      <c r="Q341">
        <v>1</v>
      </c>
      <c r="R341" s="1">
        <f t="shared" si="77"/>
        <v>0</v>
      </c>
      <c r="S341" s="1">
        <f t="shared" si="78"/>
        <v>0</v>
      </c>
      <c r="T341" s="1">
        <f t="shared" si="79"/>
        <v>1</v>
      </c>
      <c r="U341" s="1">
        <f t="shared" si="80"/>
        <v>1</v>
      </c>
      <c r="V341" s="1">
        <f t="shared" si="81"/>
        <v>1</v>
      </c>
      <c r="W341" s="1" t="str">
        <f t="shared" si="82"/>
        <v>FO</v>
      </c>
      <c r="X341" t="s">
        <v>39</v>
      </c>
      <c r="Y341" t="s">
        <v>149</v>
      </c>
      <c r="AJ341">
        <f t="shared" si="83"/>
        <v>1</v>
      </c>
      <c r="AK341">
        <f t="shared" si="84"/>
        <v>1</v>
      </c>
      <c r="AL341">
        <f t="shared" si="85"/>
        <v>1</v>
      </c>
      <c r="AM341">
        <f t="shared" si="75"/>
        <v>1</v>
      </c>
      <c r="AN341">
        <f t="shared" si="86"/>
        <v>1</v>
      </c>
      <c r="AO341">
        <f t="shared" si="87"/>
        <v>1</v>
      </c>
      <c r="AP341">
        <f t="shared" si="88"/>
        <v>0</v>
      </c>
      <c r="AQ341">
        <f t="shared" si="76"/>
        <v>0</v>
      </c>
      <c r="AR341">
        <f t="shared" si="89"/>
        <v>0</v>
      </c>
    </row>
    <row r="342" spans="1:44" x14ac:dyDescent="0.25">
      <c r="A342" t="s">
        <v>390</v>
      </c>
      <c r="B342">
        <v>0</v>
      </c>
      <c r="D342" t="s">
        <v>6</v>
      </c>
      <c r="G342" t="s">
        <v>3</v>
      </c>
      <c r="I342" s="1">
        <v>0</v>
      </c>
      <c r="J342" s="1"/>
      <c r="K342" s="1" t="s">
        <v>6</v>
      </c>
      <c r="L342" s="1"/>
      <c r="M342" s="1" t="b">
        <v>0</v>
      </c>
      <c r="N342" s="1"/>
      <c r="O342">
        <v>0</v>
      </c>
      <c r="P342">
        <v>1</v>
      </c>
      <c r="Q342">
        <v>2</v>
      </c>
      <c r="R342" s="1">
        <f t="shared" si="77"/>
        <v>0</v>
      </c>
      <c r="S342" s="1">
        <f t="shared" si="78"/>
        <v>0</v>
      </c>
      <c r="T342" s="1">
        <f t="shared" si="79"/>
        <v>1</v>
      </c>
      <c r="U342" s="1">
        <f t="shared" si="80"/>
        <v>1</v>
      </c>
      <c r="V342" s="1">
        <f t="shared" si="81"/>
        <v>2</v>
      </c>
      <c r="W342" s="1" t="str">
        <f t="shared" si="82"/>
        <v>FO</v>
      </c>
      <c r="X342" t="s">
        <v>39</v>
      </c>
      <c r="Y342" t="s">
        <v>149</v>
      </c>
      <c r="AJ342">
        <f t="shared" si="83"/>
        <v>10</v>
      </c>
      <c r="AK342">
        <f t="shared" si="84"/>
        <v>10</v>
      </c>
      <c r="AL342">
        <f t="shared" si="85"/>
        <v>2</v>
      </c>
      <c r="AM342">
        <f t="shared" si="75"/>
        <v>2</v>
      </c>
      <c r="AN342">
        <f t="shared" si="86"/>
        <v>2</v>
      </c>
      <c r="AO342">
        <f t="shared" si="87"/>
        <v>2</v>
      </c>
      <c r="AP342">
        <f t="shared" si="88"/>
        <v>0</v>
      </c>
      <c r="AQ342">
        <f t="shared" si="76"/>
        <v>0</v>
      </c>
      <c r="AR342">
        <f t="shared" si="89"/>
        <v>0</v>
      </c>
    </row>
    <row r="343" spans="1:44" x14ac:dyDescent="0.25">
      <c r="A343" t="s">
        <v>391</v>
      </c>
      <c r="B343">
        <v>0</v>
      </c>
      <c r="E343" t="s">
        <v>43</v>
      </c>
      <c r="I343" s="1">
        <v>0</v>
      </c>
      <c r="J343" s="1"/>
      <c r="K343" s="1"/>
      <c r="L343" s="1" t="s">
        <v>43</v>
      </c>
      <c r="M343" s="1" t="b">
        <v>1</v>
      </c>
      <c r="N343" s="1"/>
      <c r="O343">
        <v>1</v>
      </c>
      <c r="P343">
        <v>1</v>
      </c>
      <c r="Q343">
        <v>0</v>
      </c>
      <c r="R343" s="1">
        <f t="shared" si="77"/>
        <v>1</v>
      </c>
      <c r="S343" s="1">
        <f t="shared" si="78"/>
        <v>0</v>
      </c>
      <c r="T343" s="1">
        <f t="shared" si="79"/>
        <v>1</v>
      </c>
      <c r="U343" s="1">
        <f t="shared" si="80"/>
        <v>1</v>
      </c>
      <c r="V343" s="1">
        <f t="shared" si="81"/>
        <v>3</v>
      </c>
      <c r="W343" s="1" t="str">
        <f t="shared" si="82"/>
        <v>FO</v>
      </c>
      <c r="X343" t="s">
        <v>39</v>
      </c>
      <c r="Y343" t="s">
        <v>149</v>
      </c>
      <c r="AJ343">
        <f t="shared" si="83"/>
        <v>100</v>
      </c>
      <c r="AK343">
        <f t="shared" si="84"/>
        <v>0</v>
      </c>
      <c r="AL343">
        <f t="shared" si="85"/>
        <v>3</v>
      </c>
      <c r="AM343">
        <f t="shared" si="75"/>
        <v>0</v>
      </c>
      <c r="AN343">
        <f t="shared" si="86"/>
        <v>3</v>
      </c>
      <c r="AO343">
        <f t="shared" si="87"/>
        <v>0</v>
      </c>
      <c r="AP343">
        <f t="shared" si="88"/>
        <v>0</v>
      </c>
      <c r="AQ343">
        <f t="shared" si="76"/>
        <v>0</v>
      </c>
      <c r="AR343">
        <f t="shared" si="89"/>
        <v>0</v>
      </c>
    </row>
    <row r="344" spans="1:44" x14ac:dyDescent="0.25">
      <c r="A344" t="s">
        <v>392</v>
      </c>
      <c r="B344">
        <v>0</v>
      </c>
      <c r="C344" t="s">
        <v>5</v>
      </c>
      <c r="D344" t="s">
        <v>6</v>
      </c>
      <c r="F344" t="s">
        <v>2</v>
      </c>
      <c r="G344" t="s">
        <v>3</v>
      </c>
      <c r="I344" s="1">
        <v>0</v>
      </c>
      <c r="J344" s="1" t="s">
        <v>5</v>
      </c>
      <c r="K344" s="1" t="s">
        <v>6</v>
      </c>
      <c r="L344" s="1"/>
      <c r="M344" s="1" t="b">
        <v>0</v>
      </c>
      <c r="N344" s="1"/>
      <c r="O344">
        <v>0</v>
      </c>
      <c r="P344">
        <v>1</v>
      </c>
      <c r="Q344">
        <v>4</v>
      </c>
      <c r="R344" s="1">
        <f t="shared" si="77"/>
        <v>0</v>
      </c>
      <c r="S344" s="1">
        <f t="shared" si="78"/>
        <v>0</v>
      </c>
      <c r="T344" s="1">
        <f t="shared" si="79"/>
        <v>1</v>
      </c>
      <c r="U344" s="1">
        <f t="shared" si="80"/>
        <v>1</v>
      </c>
      <c r="V344" s="1">
        <f t="shared" si="81"/>
        <v>4</v>
      </c>
      <c r="W344" s="1" t="str">
        <f t="shared" si="82"/>
        <v>FO</v>
      </c>
      <c r="X344" t="s">
        <v>39</v>
      </c>
      <c r="Y344" t="s">
        <v>149</v>
      </c>
      <c r="AJ344">
        <f t="shared" si="83"/>
        <v>11</v>
      </c>
      <c r="AK344">
        <f t="shared" si="84"/>
        <v>11</v>
      </c>
      <c r="AL344">
        <f t="shared" si="85"/>
        <v>4</v>
      </c>
      <c r="AM344">
        <f t="shared" si="75"/>
        <v>4</v>
      </c>
      <c r="AN344">
        <f t="shared" si="86"/>
        <v>4</v>
      </c>
      <c r="AO344">
        <f t="shared" si="87"/>
        <v>4</v>
      </c>
      <c r="AP344">
        <f t="shared" si="88"/>
        <v>0</v>
      </c>
      <c r="AQ344">
        <f t="shared" si="76"/>
        <v>0</v>
      </c>
      <c r="AR344">
        <f t="shared" si="89"/>
        <v>0</v>
      </c>
    </row>
    <row r="345" spans="1:44" x14ac:dyDescent="0.25">
      <c r="A345" t="s">
        <v>393</v>
      </c>
      <c r="B345">
        <v>0</v>
      </c>
      <c r="C345" t="s">
        <v>5</v>
      </c>
      <c r="E345" t="s">
        <v>43</v>
      </c>
      <c r="F345" t="s">
        <v>2</v>
      </c>
      <c r="I345" s="1">
        <v>0</v>
      </c>
      <c r="J345" s="1" t="s">
        <v>5</v>
      </c>
      <c r="K345" s="1"/>
      <c r="L345" s="1" t="s">
        <v>43</v>
      </c>
      <c r="M345" s="1" t="b">
        <v>1</v>
      </c>
      <c r="N345" s="1"/>
      <c r="O345">
        <v>1</v>
      </c>
      <c r="P345">
        <v>1</v>
      </c>
      <c r="Q345">
        <v>1</v>
      </c>
      <c r="R345" s="1">
        <f t="shared" si="77"/>
        <v>1</v>
      </c>
      <c r="S345" s="1">
        <f t="shared" si="78"/>
        <v>0</v>
      </c>
      <c r="T345" s="1">
        <f t="shared" si="79"/>
        <v>1</v>
      </c>
      <c r="U345" s="1">
        <f t="shared" si="80"/>
        <v>1</v>
      </c>
      <c r="V345" s="1">
        <f t="shared" si="81"/>
        <v>5</v>
      </c>
      <c r="W345" s="1" t="str">
        <f t="shared" si="82"/>
        <v>FO</v>
      </c>
      <c r="X345" t="s">
        <v>39</v>
      </c>
      <c r="Y345" t="s">
        <v>149</v>
      </c>
      <c r="AJ345">
        <f t="shared" si="83"/>
        <v>101</v>
      </c>
      <c r="AK345">
        <f t="shared" si="84"/>
        <v>1</v>
      </c>
      <c r="AL345">
        <f t="shared" si="85"/>
        <v>5</v>
      </c>
      <c r="AM345">
        <f t="shared" si="75"/>
        <v>1</v>
      </c>
      <c r="AN345">
        <f t="shared" si="86"/>
        <v>5</v>
      </c>
      <c r="AO345">
        <f t="shared" si="87"/>
        <v>1</v>
      </c>
      <c r="AP345">
        <f t="shared" si="88"/>
        <v>0</v>
      </c>
      <c r="AQ345">
        <f t="shared" si="76"/>
        <v>0</v>
      </c>
      <c r="AR345">
        <f t="shared" si="89"/>
        <v>0</v>
      </c>
    </row>
    <row r="346" spans="1:44" x14ac:dyDescent="0.25">
      <c r="A346" t="s">
        <v>394</v>
      </c>
      <c r="B346">
        <v>0</v>
      </c>
      <c r="D346" t="s">
        <v>6</v>
      </c>
      <c r="E346" t="s">
        <v>43</v>
      </c>
      <c r="G346" t="s">
        <v>3</v>
      </c>
      <c r="I346" s="1">
        <v>0</v>
      </c>
      <c r="J346" s="1"/>
      <c r="K346" s="1" t="s">
        <v>6</v>
      </c>
      <c r="L346" s="1" t="s">
        <v>43</v>
      </c>
      <c r="M346" s="1" t="b">
        <v>1</v>
      </c>
      <c r="N346" s="1"/>
      <c r="O346">
        <v>1</v>
      </c>
      <c r="P346">
        <v>1</v>
      </c>
      <c r="Q346">
        <v>2</v>
      </c>
      <c r="R346" s="1">
        <f t="shared" si="77"/>
        <v>1</v>
      </c>
      <c r="S346" s="1">
        <f t="shared" si="78"/>
        <v>0</v>
      </c>
      <c r="T346" s="1">
        <f t="shared" si="79"/>
        <v>1</v>
      </c>
      <c r="U346" s="1">
        <f t="shared" si="80"/>
        <v>1</v>
      </c>
      <c r="V346" s="1">
        <f t="shared" si="81"/>
        <v>6</v>
      </c>
      <c r="W346" s="1" t="str">
        <f t="shared" si="82"/>
        <v>FO</v>
      </c>
      <c r="X346" t="s">
        <v>39</v>
      </c>
      <c r="Y346" t="s">
        <v>149</v>
      </c>
      <c r="AJ346">
        <f t="shared" si="83"/>
        <v>110</v>
      </c>
      <c r="AK346">
        <f t="shared" si="84"/>
        <v>10</v>
      </c>
      <c r="AL346">
        <f t="shared" si="85"/>
        <v>6</v>
      </c>
      <c r="AM346">
        <f t="shared" si="75"/>
        <v>2</v>
      </c>
      <c r="AN346">
        <f t="shared" si="86"/>
        <v>6</v>
      </c>
      <c r="AO346">
        <f t="shared" si="87"/>
        <v>2</v>
      </c>
      <c r="AP346">
        <f t="shared" si="88"/>
        <v>0</v>
      </c>
      <c r="AQ346">
        <f t="shared" si="76"/>
        <v>0</v>
      </c>
      <c r="AR346">
        <f t="shared" si="89"/>
        <v>0</v>
      </c>
    </row>
    <row r="347" spans="1:44" x14ac:dyDescent="0.25">
      <c r="A347" t="s">
        <v>395</v>
      </c>
      <c r="B347">
        <v>0</v>
      </c>
      <c r="C347" t="s">
        <v>5</v>
      </c>
      <c r="D347" t="s">
        <v>6</v>
      </c>
      <c r="E347" t="s">
        <v>43</v>
      </c>
      <c r="F347" t="s">
        <v>2</v>
      </c>
      <c r="G347" t="s">
        <v>3</v>
      </c>
      <c r="I347" s="1">
        <v>0</v>
      </c>
      <c r="J347" s="1" t="s">
        <v>5</v>
      </c>
      <c r="K347" s="1" t="s">
        <v>6</v>
      </c>
      <c r="L347" s="1" t="s">
        <v>43</v>
      </c>
      <c r="M347" s="1" t="b">
        <v>1</v>
      </c>
      <c r="N347" s="1"/>
      <c r="O347">
        <v>1</v>
      </c>
      <c r="P347">
        <v>1</v>
      </c>
      <c r="Q347">
        <v>4</v>
      </c>
      <c r="R347" s="1">
        <f t="shared" si="77"/>
        <v>1</v>
      </c>
      <c r="S347" s="1">
        <f t="shared" si="78"/>
        <v>0</v>
      </c>
      <c r="T347" s="1">
        <f t="shared" si="79"/>
        <v>1</v>
      </c>
      <c r="U347" s="1">
        <f t="shared" si="80"/>
        <v>1</v>
      </c>
      <c r="V347" s="1">
        <f t="shared" si="81"/>
        <v>7</v>
      </c>
      <c r="W347" s="1" t="str">
        <f t="shared" si="82"/>
        <v>FO</v>
      </c>
      <c r="X347" t="s">
        <v>39</v>
      </c>
      <c r="Y347" t="s">
        <v>149</v>
      </c>
      <c r="AJ347">
        <f t="shared" si="83"/>
        <v>111</v>
      </c>
      <c r="AK347">
        <f t="shared" si="84"/>
        <v>11</v>
      </c>
      <c r="AL347">
        <f t="shared" si="85"/>
        <v>7</v>
      </c>
      <c r="AM347">
        <f t="shared" si="75"/>
        <v>4</v>
      </c>
      <c r="AN347">
        <f t="shared" si="86"/>
        <v>7</v>
      </c>
      <c r="AO347">
        <f t="shared" si="87"/>
        <v>4</v>
      </c>
      <c r="AP347">
        <f t="shared" si="88"/>
        <v>0</v>
      </c>
      <c r="AQ347">
        <f t="shared" si="76"/>
        <v>0</v>
      </c>
      <c r="AR347">
        <f t="shared" si="89"/>
        <v>0</v>
      </c>
    </row>
    <row r="348" spans="1:44" x14ac:dyDescent="0.25">
      <c r="A348" t="s">
        <v>396</v>
      </c>
      <c r="B348">
        <v>0</v>
      </c>
      <c r="I348" s="1">
        <v>0</v>
      </c>
      <c r="J348" s="1"/>
      <c r="K348" s="1"/>
      <c r="L348" s="1"/>
      <c r="M348" s="1" t="b">
        <v>0</v>
      </c>
      <c r="N348" s="1"/>
      <c r="O348">
        <v>0</v>
      </c>
      <c r="P348">
        <v>2</v>
      </c>
      <c r="Q348">
        <v>0</v>
      </c>
      <c r="R348" s="1">
        <f t="shared" si="77"/>
        <v>0</v>
      </c>
      <c r="S348" s="1">
        <f t="shared" si="78"/>
        <v>1</v>
      </c>
      <c r="T348" s="1">
        <f t="shared" si="79"/>
        <v>1</v>
      </c>
      <c r="U348" s="1">
        <f t="shared" si="80"/>
        <v>2</v>
      </c>
      <c r="V348" s="1">
        <f t="shared" si="81"/>
        <v>0</v>
      </c>
      <c r="W348" s="1" t="str">
        <f t="shared" si="82"/>
        <v>FO</v>
      </c>
      <c r="X348" t="s">
        <v>39</v>
      </c>
      <c r="Y348" t="s">
        <v>149</v>
      </c>
      <c r="AJ348">
        <f t="shared" si="83"/>
        <v>0</v>
      </c>
      <c r="AK348">
        <f t="shared" si="84"/>
        <v>0</v>
      </c>
      <c r="AL348">
        <f t="shared" si="85"/>
        <v>0</v>
      </c>
      <c r="AM348">
        <f t="shared" si="75"/>
        <v>0</v>
      </c>
      <c r="AN348">
        <f t="shared" si="86"/>
        <v>0</v>
      </c>
      <c r="AO348">
        <f t="shared" si="87"/>
        <v>0</v>
      </c>
      <c r="AP348">
        <f t="shared" si="88"/>
        <v>0</v>
      </c>
      <c r="AQ348">
        <f t="shared" si="76"/>
        <v>0</v>
      </c>
      <c r="AR348">
        <f t="shared" si="89"/>
        <v>0</v>
      </c>
    </row>
    <row r="349" spans="1:44" x14ac:dyDescent="0.25">
      <c r="A349" t="s">
        <v>397</v>
      </c>
      <c r="B349">
        <v>0</v>
      </c>
      <c r="C349" t="s">
        <v>5</v>
      </c>
      <c r="F349" t="s">
        <v>2</v>
      </c>
      <c r="I349" s="1">
        <v>0</v>
      </c>
      <c r="J349" s="1" t="s">
        <v>5</v>
      </c>
      <c r="K349" s="1"/>
      <c r="L349" s="1"/>
      <c r="M349" s="1" t="b">
        <v>0</v>
      </c>
      <c r="N349" s="1"/>
      <c r="O349">
        <v>0</v>
      </c>
      <c r="P349">
        <v>2</v>
      </c>
      <c r="Q349">
        <v>1</v>
      </c>
      <c r="R349" s="1">
        <f t="shared" si="77"/>
        <v>0</v>
      </c>
      <c r="S349" s="1">
        <f t="shared" si="78"/>
        <v>1</v>
      </c>
      <c r="T349" s="1">
        <f t="shared" si="79"/>
        <v>1</v>
      </c>
      <c r="U349" s="1">
        <f t="shared" si="80"/>
        <v>2</v>
      </c>
      <c r="V349" s="1">
        <f t="shared" si="81"/>
        <v>1</v>
      </c>
      <c r="W349" s="1" t="str">
        <f t="shared" si="82"/>
        <v>FO</v>
      </c>
      <c r="X349" t="s">
        <v>39</v>
      </c>
      <c r="Y349" t="s">
        <v>149</v>
      </c>
      <c r="AJ349">
        <f t="shared" si="83"/>
        <v>1</v>
      </c>
      <c r="AK349">
        <f t="shared" si="84"/>
        <v>1</v>
      </c>
      <c r="AL349">
        <f t="shared" si="85"/>
        <v>1</v>
      </c>
      <c r="AM349">
        <f t="shared" si="75"/>
        <v>1</v>
      </c>
      <c r="AN349">
        <f t="shared" si="86"/>
        <v>1</v>
      </c>
      <c r="AO349">
        <f t="shared" si="87"/>
        <v>1</v>
      </c>
      <c r="AP349">
        <f t="shared" si="88"/>
        <v>0</v>
      </c>
      <c r="AQ349">
        <f t="shared" si="76"/>
        <v>0</v>
      </c>
      <c r="AR349">
        <f t="shared" si="89"/>
        <v>0</v>
      </c>
    </row>
    <row r="350" spans="1:44" x14ac:dyDescent="0.25">
      <c r="A350" t="s">
        <v>398</v>
      </c>
      <c r="B350">
        <v>0</v>
      </c>
      <c r="D350" t="s">
        <v>6</v>
      </c>
      <c r="G350" t="s">
        <v>3</v>
      </c>
      <c r="I350" s="1">
        <v>0</v>
      </c>
      <c r="J350" s="1"/>
      <c r="K350" s="1" t="s">
        <v>6</v>
      </c>
      <c r="L350" s="1"/>
      <c r="M350" s="1" t="b">
        <v>0</v>
      </c>
      <c r="N350" s="1"/>
      <c r="O350">
        <v>0</v>
      </c>
      <c r="P350">
        <v>2</v>
      </c>
      <c r="Q350">
        <v>2</v>
      </c>
      <c r="R350" s="1">
        <f t="shared" si="77"/>
        <v>0</v>
      </c>
      <c r="S350" s="1">
        <f t="shared" si="78"/>
        <v>1</v>
      </c>
      <c r="T350" s="1">
        <f t="shared" si="79"/>
        <v>1</v>
      </c>
      <c r="U350" s="1">
        <f t="shared" si="80"/>
        <v>2</v>
      </c>
      <c r="V350" s="1">
        <f t="shared" si="81"/>
        <v>2</v>
      </c>
      <c r="W350" s="1" t="str">
        <f t="shared" si="82"/>
        <v>FO</v>
      </c>
      <c r="X350" t="s">
        <v>39</v>
      </c>
      <c r="Y350" t="s">
        <v>149</v>
      </c>
      <c r="AJ350">
        <f t="shared" si="83"/>
        <v>10</v>
      </c>
      <c r="AK350">
        <f t="shared" si="84"/>
        <v>10</v>
      </c>
      <c r="AL350">
        <f t="shared" si="85"/>
        <v>2</v>
      </c>
      <c r="AM350">
        <f t="shared" si="75"/>
        <v>2</v>
      </c>
      <c r="AN350">
        <f t="shared" si="86"/>
        <v>2</v>
      </c>
      <c r="AO350">
        <f t="shared" si="87"/>
        <v>2</v>
      </c>
      <c r="AP350">
        <f t="shared" si="88"/>
        <v>0</v>
      </c>
      <c r="AQ350">
        <f t="shared" si="76"/>
        <v>0</v>
      </c>
      <c r="AR350">
        <f t="shared" si="89"/>
        <v>0</v>
      </c>
    </row>
    <row r="351" spans="1:44" x14ac:dyDescent="0.25">
      <c r="A351" t="s">
        <v>399</v>
      </c>
      <c r="B351">
        <v>0</v>
      </c>
      <c r="E351" t="s">
        <v>43</v>
      </c>
      <c r="I351" s="1">
        <v>0</v>
      </c>
      <c r="J351" s="1"/>
      <c r="K351" s="1"/>
      <c r="L351" s="1" t="s">
        <v>43</v>
      </c>
      <c r="M351" s="1" t="b">
        <v>1</v>
      </c>
      <c r="N351" s="1"/>
      <c r="O351">
        <v>1</v>
      </c>
      <c r="P351">
        <v>2</v>
      </c>
      <c r="Q351">
        <v>0</v>
      </c>
      <c r="R351" s="1">
        <f t="shared" si="77"/>
        <v>1</v>
      </c>
      <c r="S351" s="1">
        <f t="shared" si="78"/>
        <v>1</v>
      </c>
      <c r="T351" s="1">
        <f t="shared" si="79"/>
        <v>1</v>
      </c>
      <c r="U351" s="1">
        <f t="shared" si="80"/>
        <v>2</v>
      </c>
      <c r="V351" s="1">
        <f t="shared" si="81"/>
        <v>3</v>
      </c>
      <c r="W351" s="1" t="str">
        <f t="shared" si="82"/>
        <v>FO</v>
      </c>
      <c r="X351" t="s">
        <v>39</v>
      </c>
      <c r="Y351" t="s">
        <v>149</v>
      </c>
      <c r="AJ351">
        <f t="shared" si="83"/>
        <v>100</v>
      </c>
      <c r="AK351">
        <f t="shared" si="84"/>
        <v>0</v>
      </c>
      <c r="AL351">
        <f t="shared" si="85"/>
        <v>3</v>
      </c>
      <c r="AM351">
        <f t="shared" si="75"/>
        <v>0</v>
      </c>
      <c r="AN351">
        <f t="shared" si="86"/>
        <v>3</v>
      </c>
      <c r="AO351">
        <f t="shared" si="87"/>
        <v>0</v>
      </c>
      <c r="AP351">
        <f t="shared" si="88"/>
        <v>0</v>
      </c>
      <c r="AQ351">
        <f t="shared" si="76"/>
        <v>0</v>
      </c>
      <c r="AR351">
        <f t="shared" si="89"/>
        <v>0</v>
      </c>
    </row>
    <row r="352" spans="1:44" x14ac:dyDescent="0.25">
      <c r="A352" t="s">
        <v>400</v>
      </c>
      <c r="B352">
        <v>0</v>
      </c>
      <c r="C352" t="s">
        <v>5</v>
      </c>
      <c r="D352" t="s">
        <v>6</v>
      </c>
      <c r="F352" t="s">
        <v>2</v>
      </c>
      <c r="G352" t="s">
        <v>3</v>
      </c>
      <c r="I352" s="1">
        <v>0</v>
      </c>
      <c r="J352" s="1" t="s">
        <v>5</v>
      </c>
      <c r="K352" s="1" t="s">
        <v>6</v>
      </c>
      <c r="L352" s="1"/>
      <c r="M352" s="1" t="b">
        <v>0</v>
      </c>
      <c r="N352" s="1"/>
      <c r="O352">
        <v>0</v>
      </c>
      <c r="P352">
        <v>2</v>
      </c>
      <c r="Q352">
        <v>4</v>
      </c>
      <c r="R352" s="1">
        <f t="shared" si="77"/>
        <v>0</v>
      </c>
      <c r="S352" s="1">
        <f t="shared" si="78"/>
        <v>1</v>
      </c>
      <c r="T352" s="1">
        <f t="shared" si="79"/>
        <v>1</v>
      </c>
      <c r="U352" s="1">
        <f t="shared" si="80"/>
        <v>2</v>
      </c>
      <c r="V352" s="1">
        <f t="shared" si="81"/>
        <v>4</v>
      </c>
      <c r="W352" s="1" t="str">
        <f t="shared" si="82"/>
        <v>FO</v>
      </c>
      <c r="X352" t="s">
        <v>39</v>
      </c>
      <c r="Y352" t="s">
        <v>149</v>
      </c>
      <c r="AJ352">
        <f t="shared" si="83"/>
        <v>11</v>
      </c>
      <c r="AK352">
        <f t="shared" si="84"/>
        <v>11</v>
      </c>
      <c r="AL352">
        <f t="shared" si="85"/>
        <v>4</v>
      </c>
      <c r="AM352">
        <f t="shared" si="75"/>
        <v>4</v>
      </c>
      <c r="AN352">
        <f t="shared" si="86"/>
        <v>4</v>
      </c>
      <c r="AO352">
        <f t="shared" si="87"/>
        <v>4</v>
      </c>
      <c r="AP352">
        <f t="shared" si="88"/>
        <v>0</v>
      </c>
      <c r="AQ352">
        <f t="shared" si="76"/>
        <v>0</v>
      </c>
      <c r="AR352">
        <f t="shared" si="89"/>
        <v>0</v>
      </c>
    </row>
    <row r="353" spans="1:44" x14ac:dyDescent="0.25">
      <c r="A353" t="s">
        <v>401</v>
      </c>
      <c r="B353">
        <v>0</v>
      </c>
      <c r="C353" t="s">
        <v>5</v>
      </c>
      <c r="E353" t="s">
        <v>43</v>
      </c>
      <c r="F353" t="s">
        <v>2</v>
      </c>
      <c r="I353" s="1">
        <v>0</v>
      </c>
      <c r="J353" s="1" t="s">
        <v>5</v>
      </c>
      <c r="K353" s="1"/>
      <c r="L353" s="1" t="s">
        <v>43</v>
      </c>
      <c r="M353" s="1" t="b">
        <v>1</v>
      </c>
      <c r="N353" s="1"/>
      <c r="O353">
        <v>1</v>
      </c>
      <c r="P353">
        <v>2</v>
      </c>
      <c r="Q353">
        <v>1</v>
      </c>
      <c r="R353" s="1">
        <f t="shared" si="77"/>
        <v>1</v>
      </c>
      <c r="S353" s="1">
        <f t="shared" si="78"/>
        <v>1</v>
      </c>
      <c r="T353" s="1">
        <f t="shared" si="79"/>
        <v>1</v>
      </c>
      <c r="U353" s="1">
        <f t="shared" si="80"/>
        <v>2</v>
      </c>
      <c r="V353" s="1">
        <f t="shared" si="81"/>
        <v>5</v>
      </c>
      <c r="W353" s="1" t="str">
        <f t="shared" si="82"/>
        <v>FO</v>
      </c>
      <c r="X353" t="s">
        <v>39</v>
      </c>
      <c r="Y353" t="s">
        <v>149</v>
      </c>
      <c r="AJ353">
        <f t="shared" si="83"/>
        <v>101</v>
      </c>
      <c r="AK353">
        <f t="shared" si="84"/>
        <v>1</v>
      </c>
      <c r="AL353">
        <f t="shared" si="85"/>
        <v>5</v>
      </c>
      <c r="AM353">
        <f t="shared" si="75"/>
        <v>1</v>
      </c>
      <c r="AN353">
        <f t="shared" si="86"/>
        <v>5</v>
      </c>
      <c r="AO353">
        <f t="shared" si="87"/>
        <v>1</v>
      </c>
      <c r="AP353">
        <f t="shared" si="88"/>
        <v>0</v>
      </c>
      <c r="AQ353">
        <f t="shared" si="76"/>
        <v>0</v>
      </c>
      <c r="AR353">
        <f t="shared" si="89"/>
        <v>0</v>
      </c>
    </row>
    <row r="354" spans="1:44" x14ac:dyDescent="0.25">
      <c r="A354" t="s">
        <v>402</v>
      </c>
      <c r="B354">
        <v>0</v>
      </c>
      <c r="D354" t="s">
        <v>6</v>
      </c>
      <c r="E354" t="s">
        <v>43</v>
      </c>
      <c r="G354" t="s">
        <v>3</v>
      </c>
      <c r="I354" s="1">
        <v>0</v>
      </c>
      <c r="J354" s="1"/>
      <c r="K354" s="1" t="s">
        <v>6</v>
      </c>
      <c r="L354" s="1" t="s">
        <v>43</v>
      </c>
      <c r="M354" s="1" t="b">
        <v>1</v>
      </c>
      <c r="N354" s="1"/>
      <c r="O354">
        <v>1</v>
      </c>
      <c r="P354">
        <v>2</v>
      </c>
      <c r="Q354">
        <v>2</v>
      </c>
      <c r="R354" s="1">
        <f t="shared" si="77"/>
        <v>1</v>
      </c>
      <c r="S354" s="1">
        <f t="shared" si="78"/>
        <v>1</v>
      </c>
      <c r="T354" s="1">
        <f t="shared" si="79"/>
        <v>1</v>
      </c>
      <c r="U354" s="1">
        <f t="shared" si="80"/>
        <v>2</v>
      </c>
      <c r="V354" s="1">
        <f t="shared" si="81"/>
        <v>6</v>
      </c>
      <c r="W354" s="1" t="str">
        <f t="shared" si="82"/>
        <v>FO</v>
      </c>
      <c r="X354" t="s">
        <v>39</v>
      </c>
      <c r="Y354" t="s">
        <v>149</v>
      </c>
      <c r="AJ354">
        <f t="shared" si="83"/>
        <v>110</v>
      </c>
      <c r="AK354">
        <f t="shared" si="84"/>
        <v>10</v>
      </c>
      <c r="AL354">
        <f t="shared" si="85"/>
        <v>6</v>
      </c>
      <c r="AM354">
        <f t="shared" si="75"/>
        <v>2</v>
      </c>
      <c r="AN354">
        <f t="shared" si="86"/>
        <v>6</v>
      </c>
      <c r="AO354">
        <f t="shared" si="87"/>
        <v>2</v>
      </c>
      <c r="AP354">
        <f t="shared" si="88"/>
        <v>0</v>
      </c>
      <c r="AQ354">
        <f t="shared" si="76"/>
        <v>0</v>
      </c>
      <c r="AR354">
        <f t="shared" si="89"/>
        <v>0</v>
      </c>
    </row>
    <row r="355" spans="1:44" x14ac:dyDescent="0.25">
      <c r="A355" t="s">
        <v>403</v>
      </c>
      <c r="B355">
        <v>0</v>
      </c>
      <c r="C355" t="s">
        <v>5</v>
      </c>
      <c r="D355" t="s">
        <v>6</v>
      </c>
      <c r="E355" t="s">
        <v>43</v>
      </c>
      <c r="F355" t="s">
        <v>2</v>
      </c>
      <c r="G355" t="s">
        <v>3</v>
      </c>
      <c r="I355" s="1">
        <v>0</v>
      </c>
      <c r="J355" s="1" t="s">
        <v>5</v>
      </c>
      <c r="K355" s="1" t="s">
        <v>6</v>
      </c>
      <c r="L355" s="1" t="s">
        <v>43</v>
      </c>
      <c r="M355" s="1" t="b">
        <v>1</v>
      </c>
      <c r="N355" s="1"/>
      <c r="O355">
        <v>1</v>
      </c>
      <c r="P355">
        <v>2</v>
      </c>
      <c r="Q355">
        <v>4</v>
      </c>
      <c r="R355" s="1">
        <f t="shared" si="77"/>
        <v>1</v>
      </c>
      <c r="S355" s="1">
        <f t="shared" si="78"/>
        <v>1</v>
      </c>
      <c r="T355" s="1">
        <f t="shared" si="79"/>
        <v>1</v>
      </c>
      <c r="U355" s="1">
        <f t="shared" si="80"/>
        <v>2</v>
      </c>
      <c r="V355" s="1">
        <f t="shared" si="81"/>
        <v>7</v>
      </c>
      <c r="W355" s="1" t="str">
        <f t="shared" si="82"/>
        <v>FO</v>
      </c>
      <c r="X355" t="s">
        <v>39</v>
      </c>
      <c r="Y355" t="s">
        <v>149</v>
      </c>
      <c r="AJ355">
        <f t="shared" si="83"/>
        <v>111</v>
      </c>
      <c r="AK355">
        <f t="shared" si="84"/>
        <v>11</v>
      </c>
      <c r="AL355">
        <f t="shared" si="85"/>
        <v>7</v>
      </c>
      <c r="AM355">
        <f t="shared" si="75"/>
        <v>4</v>
      </c>
      <c r="AN355">
        <f t="shared" si="86"/>
        <v>7</v>
      </c>
      <c r="AO355">
        <f t="shared" si="87"/>
        <v>4</v>
      </c>
      <c r="AP355">
        <f t="shared" si="88"/>
        <v>0</v>
      </c>
      <c r="AQ355">
        <f t="shared" si="76"/>
        <v>0</v>
      </c>
      <c r="AR355">
        <f t="shared" si="89"/>
        <v>0</v>
      </c>
    </row>
    <row r="356" spans="1:44" x14ac:dyDescent="0.25">
      <c r="A356" t="s">
        <v>404</v>
      </c>
      <c r="B356">
        <v>0</v>
      </c>
      <c r="I356" s="1">
        <v>0</v>
      </c>
      <c r="J356" s="1"/>
      <c r="K356" s="1"/>
      <c r="L356" s="1"/>
      <c r="M356" s="1" t="b">
        <v>0</v>
      </c>
      <c r="N356" s="1"/>
      <c r="O356">
        <v>0</v>
      </c>
      <c r="P356">
        <v>3</v>
      </c>
      <c r="Q356">
        <v>0</v>
      </c>
      <c r="R356" s="1">
        <f t="shared" si="77"/>
        <v>0</v>
      </c>
      <c r="S356" s="1">
        <f t="shared" si="78"/>
        <v>2</v>
      </c>
      <c r="T356" s="1">
        <f t="shared" si="79"/>
        <v>1</v>
      </c>
      <c r="U356" s="1">
        <f t="shared" si="80"/>
        <v>3</v>
      </c>
      <c r="V356" s="1">
        <f t="shared" si="81"/>
        <v>0</v>
      </c>
      <c r="W356" s="1" t="str">
        <f t="shared" si="82"/>
        <v>FO</v>
      </c>
      <c r="X356" t="s">
        <v>39</v>
      </c>
      <c r="Y356" t="s">
        <v>149</v>
      </c>
      <c r="AJ356">
        <f t="shared" si="83"/>
        <v>0</v>
      </c>
      <c r="AK356">
        <f t="shared" si="84"/>
        <v>0</v>
      </c>
      <c r="AL356">
        <f t="shared" si="85"/>
        <v>0</v>
      </c>
      <c r="AM356">
        <f t="shared" si="75"/>
        <v>0</v>
      </c>
      <c r="AN356">
        <f t="shared" si="86"/>
        <v>0</v>
      </c>
      <c r="AO356">
        <f t="shared" si="87"/>
        <v>0</v>
      </c>
      <c r="AP356">
        <f t="shared" si="88"/>
        <v>0</v>
      </c>
      <c r="AQ356">
        <f t="shared" si="76"/>
        <v>0</v>
      </c>
      <c r="AR356">
        <f t="shared" si="89"/>
        <v>0</v>
      </c>
    </row>
    <row r="357" spans="1:44" x14ac:dyDescent="0.25">
      <c r="A357" t="s">
        <v>405</v>
      </c>
      <c r="B357">
        <v>0</v>
      </c>
      <c r="I357" s="1">
        <v>0</v>
      </c>
      <c r="J357" s="1" t="s">
        <v>5</v>
      </c>
      <c r="K357" s="1"/>
      <c r="L357" s="1"/>
      <c r="M357" s="1" t="b">
        <v>0</v>
      </c>
      <c r="N357" s="1"/>
      <c r="O357">
        <v>0</v>
      </c>
      <c r="P357">
        <v>3</v>
      </c>
      <c r="Q357">
        <v>0</v>
      </c>
      <c r="R357" s="1">
        <f t="shared" si="77"/>
        <v>0</v>
      </c>
      <c r="S357" s="1">
        <f t="shared" si="78"/>
        <v>2</v>
      </c>
      <c r="T357" s="1">
        <f t="shared" si="79"/>
        <v>1</v>
      </c>
      <c r="U357" s="1">
        <f t="shared" si="80"/>
        <v>3</v>
      </c>
      <c r="V357" s="1">
        <f t="shared" si="81"/>
        <v>1</v>
      </c>
      <c r="W357" s="1" t="str">
        <f t="shared" si="82"/>
        <v>FO</v>
      </c>
      <c r="X357" t="s">
        <v>39</v>
      </c>
      <c r="Y357" t="s">
        <v>149</v>
      </c>
      <c r="AJ357">
        <f t="shared" si="83"/>
        <v>0</v>
      </c>
      <c r="AK357">
        <f t="shared" si="84"/>
        <v>0</v>
      </c>
      <c r="AL357">
        <f t="shared" si="85"/>
        <v>0</v>
      </c>
      <c r="AM357">
        <f t="shared" si="75"/>
        <v>0</v>
      </c>
      <c r="AN357">
        <f t="shared" si="86"/>
        <v>1</v>
      </c>
      <c r="AO357">
        <f t="shared" si="87"/>
        <v>0</v>
      </c>
      <c r="AP357">
        <f t="shared" si="88"/>
        <v>1</v>
      </c>
      <c r="AQ357">
        <f t="shared" si="76"/>
        <v>0</v>
      </c>
      <c r="AR357">
        <f t="shared" si="89"/>
        <v>1</v>
      </c>
    </row>
    <row r="358" spans="1:44" x14ac:dyDescent="0.25">
      <c r="A358" t="s">
        <v>406</v>
      </c>
      <c r="B358">
        <v>0</v>
      </c>
      <c r="I358" s="1">
        <v>0</v>
      </c>
      <c r="J358" s="1"/>
      <c r="K358" s="1" t="s">
        <v>6</v>
      </c>
      <c r="L358" s="1"/>
      <c r="M358" s="1" t="b">
        <v>0</v>
      </c>
      <c r="N358" s="1"/>
      <c r="O358">
        <v>0</v>
      </c>
      <c r="P358">
        <v>3</v>
      </c>
      <c r="Q358">
        <v>0</v>
      </c>
      <c r="R358" s="1">
        <f t="shared" si="77"/>
        <v>0</v>
      </c>
      <c r="S358" s="1">
        <f t="shared" si="78"/>
        <v>2</v>
      </c>
      <c r="T358" s="1">
        <f t="shared" si="79"/>
        <v>1</v>
      </c>
      <c r="U358" s="1">
        <f t="shared" si="80"/>
        <v>3</v>
      </c>
      <c r="V358" s="1">
        <f t="shared" si="81"/>
        <v>2</v>
      </c>
      <c r="W358" s="1" t="str">
        <f t="shared" si="82"/>
        <v>FO</v>
      </c>
      <c r="X358" t="s">
        <v>39</v>
      </c>
      <c r="Y358" t="s">
        <v>149</v>
      </c>
      <c r="AJ358">
        <f t="shared" si="83"/>
        <v>0</v>
      </c>
      <c r="AK358">
        <f t="shared" si="84"/>
        <v>0</v>
      </c>
      <c r="AL358">
        <f t="shared" si="85"/>
        <v>0</v>
      </c>
      <c r="AM358">
        <f t="shared" si="75"/>
        <v>0</v>
      </c>
      <c r="AN358">
        <f t="shared" si="86"/>
        <v>2</v>
      </c>
      <c r="AO358">
        <f t="shared" si="87"/>
        <v>0</v>
      </c>
      <c r="AP358">
        <f t="shared" si="88"/>
        <v>1</v>
      </c>
      <c r="AQ358">
        <f t="shared" si="76"/>
        <v>0</v>
      </c>
      <c r="AR358">
        <f t="shared" si="89"/>
        <v>1</v>
      </c>
    </row>
    <row r="359" spans="1:44" x14ac:dyDescent="0.25">
      <c r="A359" t="s">
        <v>407</v>
      </c>
      <c r="B359">
        <v>0</v>
      </c>
      <c r="I359" s="1">
        <v>0</v>
      </c>
      <c r="J359" s="1"/>
      <c r="K359" s="1"/>
      <c r="L359" s="1" t="s">
        <v>7</v>
      </c>
      <c r="M359" s="1" t="b">
        <v>0</v>
      </c>
      <c r="N359" s="1"/>
      <c r="O359">
        <v>0</v>
      </c>
      <c r="P359">
        <v>3</v>
      </c>
      <c r="Q359">
        <v>0</v>
      </c>
      <c r="R359" s="1">
        <f t="shared" si="77"/>
        <v>0</v>
      </c>
      <c r="S359" s="1">
        <f t="shared" si="78"/>
        <v>2</v>
      </c>
      <c r="T359" s="1">
        <f t="shared" si="79"/>
        <v>1</v>
      </c>
      <c r="U359" s="1">
        <f t="shared" si="80"/>
        <v>3</v>
      </c>
      <c r="V359" s="1">
        <f t="shared" si="81"/>
        <v>3</v>
      </c>
      <c r="W359" s="1" t="str">
        <f t="shared" si="82"/>
        <v>FO</v>
      </c>
      <c r="X359" t="s">
        <v>39</v>
      </c>
      <c r="Y359" t="s">
        <v>149</v>
      </c>
      <c r="AJ359">
        <f t="shared" si="83"/>
        <v>0</v>
      </c>
      <c r="AK359">
        <f t="shared" si="84"/>
        <v>0</v>
      </c>
      <c r="AL359">
        <f t="shared" si="85"/>
        <v>0</v>
      </c>
      <c r="AM359">
        <f t="shared" si="75"/>
        <v>0</v>
      </c>
      <c r="AN359">
        <f t="shared" si="86"/>
        <v>3</v>
      </c>
      <c r="AO359">
        <f t="shared" si="87"/>
        <v>0</v>
      </c>
      <c r="AP359">
        <f t="shared" si="88"/>
        <v>1</v>
      </c>
      <c r="AQ359">
        <f t="shared" si="76"/>
        <v>0</v>
      </c>
      <c r="AR359">
        <f t="shared" si="89"/>
        <v>1</v>
      </c>
    </row>
    <row r="360" spans="1:44" x14ac:dyDescent="0.25">
      <c r="A360" t="s">
        <v>408</v>
      </c>
      <c r="B360">
        <v>0</v>
      </c>
      <c r="I360" s="1">
        <v>0</v>
      </c>
      <c r="J360" s="1" t="s">
        <v>5</v>
      </c>
      <c r="K360" s="1" t="s">
        <v>6</v>
      </c>
      <c r="L360" s="1"/>
      <c r="M360" s="1" t="b">
        <v>0</v>
      </c>
      <c r="N360" s="1"/>
      <c r="O360">
        <v>0</v>
      </c>
      <c r="P360">
        <v>3</v>
      </c>
      <c r="Q360">
        <v>0</v>
      </c>
      <c r="R360" s="1">
        <f t="shared" si="77"/>
        <v>0</v>
      </c>
      <c r="S360" s="1">
        <f t="shared" si="78"/>
        <v>2</v>
      </c>
      <c r="T360" s="1">
        <f t="shared" si="79"/>
        <v>1</v>
      </c>
      <c r="U360" s="1">
        <f t="shared" si="80"/>
        <v>3</v>
      </c>
      <c r="V360" s="1">
        <f t="shared" si="81"/>
        <v>4</v>
      </c>
      <c r="W360" s="1" t="str">
        <f t="shared" si="82"/>
        <v>FO</v>
      </c>
      <c r="X360" t="s">
        <v>39</v>
      </c>
      <c r="Y360" t="s">
        <v>149</v>
      </c>
      <c r="AJ360">
        <f t="shared" si="83"/>
        <v>0</v>
      </c>
      <c r="AK360">
        <f t="shared" si="84"/>
        <v>0</v>
      </c>
      <c r="AL360">
        <f t="shared" si="85"/>
        <v>0</v>
      </c>
      <c r="AM360">
        <f t="shared" si="75"/>
        <v>0</v>
      </c>
      <c r="AN360">
        <f t="shared" si="86"/>
        <v>4</v>
      </c>
      <c r="AO360">
        <f t="shared" si="87"/>
        <v>0</v>
      </c>
      <c r="AP360">
        <f t="shared" si="88"/>
        <v>1</v>
      </c>
      <c r="AQ360">
        <f t="shared" si="76"/>
        <v>0</v>
      </c>
      <c r="AR360">
        <f t="shared" si="89"/>
        <v>1</v>
      </c>
    </row>
    <row r="361" spans="1:44" x14ac:dyDescent="0.25">
      <c r="A361" t="s">
        <v>409</v>
      </c>
      <c r="B361">
        <v>0</v>
      </c>
      <c r="I361" s="1">
        <v>0</v>
      </c>
      <c r="J361" s="1" t="s">
        <v>5</v>
      </c>
      <c r="K361" s="1"/>
      <c r="L361" s="1" t="s">
        <v>7</v>
      </c>
      <c r="M361" s="1" t="b">
        <v>0</v>
      </c>
      <c r="N361" s="1"/>
      <c r="O361">
        <v>0</v>
      </c>
      <c r="P361">
        <v>3</v>
      </c>
      <c r="Q361">
        <v>0</v>
      </c>
      <c r="R361" s="1">
        <f t="shared" si="77"/>
        <v>0</v>
      </c>
      <c r="S361" s="1">
        <f t="shared" si="78"/>
        <v>2</v>
      </c>
      <c r="T361" s="1">
        <f t="shared" si="79"/>
        <v>1</v>
      </c>
      <c r="U361" s="1">
        <f t="shared" si="80"/>
        <v>3</v>
      </c>
      <c r="V361" s="1">
        <f t="shared" si="81"/>
        <v>5</v>
      </c>
      <c r="W361" s="1" t="str">
        <f t="shared" si="82"/>
        <v>FO</v>
      </c>
      <c r="X361" t="s">
        <v>39</v>
      </c>
      <c r="Y361" t="s">
        <v>149</v>
      </c>
      <c r="AJ361">
        <f t="shared" si="83"/>
        <v>0</v>
      </c>
      <c r="AK361">
        <f t="shared" si="84"/>
        <v>0</v>
      </c>
      <c r="AL361">
        <f t="shared" si="85"/>
        <v>0</v>
      </c>
      <c r="AM361">
        <f t="shared" si="75"/>
        <v>0</v>
      </c>
      <c r="AN361">
        <f t="shared" si="86"/>
        <v>5</v>
      </c>
      <c r="AO361">
        <f t="shared" si="87"/>
        <v>0</v>
      </c>
      <c r="AP361">
        <f t="shared" si="88"/>
        <v>1</v>
      </c>
      <c r="AQ361">
        <f t="shared" si="76"/>
        <v>0</v>
      </c>
      <c r="AR361">
        <f t="shared" si="89"/>
        <v>1</v>
      </c>
    </row>
    <row r="362" spans="1:44" x14ac:dyDescent="0.25">
      <c r="A362" t="s">
        <v>410</v>
      </c>
      <c r="B362">
        <v>0</v>
      </c>
      <c r="I362" s="1">
        <v>0</v>
      </c>
      <c r="J362" s="1"/>
      <c r="K362" s="1" t="s">
        <v>6</v>
      </c>
      <c r="L362" s="1" t="s">
        <v>7</v>
      </c>
      <c r="M362" s="1" t="b">
        <v>0</v>
      </c>
      <c r="N362" s="1"/>
      <c r="O362">
        <v>0</v>
      </c>
      <c r="P362">
        <v>3</v>
      </c>
      <c r="Q362">
        <v>0</v>
      </c>
      <c r="R362" s="1">
        <f t="shared" si="77"/>
        <v>0</v>
      </c>
      <c r="S362" s="1">
        <f t="shared" si="78"/>
        <v>2</v>
      </c>
      <c r="T362" s="1">
        <f t="shared" si="79"/>
        <v>1</v>
      </c>
      <c r="U362" s="1">
        <f t="shared" si="80"/>
        <v>3</v>
      </c>
      <c r="V362" s="1">
        <f t="shared" si="81"/>
        <v>6</v>
      </c>
      <c r="W362" s="1" t="str">
        <f t="shared" si="82"/>
        <v>FO</v>
      </c>
      <c r="X362" t="s">
        <v>39</v>
      </c>
      <c r="Y362" t="s">
        <v>149</v>
      </c>
      <c r="AJ362">
        <f t="shared" si="83"/>
        <v>0</v>
      </c>
      <c r="AK362">
        <f t="shared" si="84"/>
        <v>0</v>
      </c>
      <c r="AL362">
        <f t="shared" si="85"/>
        <v>0</v>
      </c>
      <c r="AM362">
        <f t="shared" si="75"/>
        <v>0</v>
      </c>
      <c r="AN362">
        <f t="shared" si="86"/>
        <v>6</v>
      </c>
      <c r="AO362">
        <f t="shared" si="87"/>
        <v>0</v>
      </c>
      <c r="AP362">
        <f t="shared" si="88"/>
        <v>1</v>
      </c>
      <c r="AQ362">
        <f t="shared" si="76"/>
        <v>0</v>
      </c>
      <c r="AR362">
        <f t="shared" si="89"/>
        <v>1</v>
      </c>
    </row>
    <row r="363" spans="1:44" x14ac:dyDescent="0.25">
      <c r="A363" t="s">
        <v>411</v>
      </c>
      <c r="B363">
        <v>0</v>
      </c>
      <c r="I363" s="1">
        <v>0</v>
      </c>
      <c r="J363" s="1" t="s">
        <v>5</v>
      </c>
      <c r="K363" s="1" t="s">
        <v>6</v>
      </c>
      <c r="L363" s="1" t="s">
        <v>7</v>
      </c>
      <c r="M363" s="1" t="b">
        <v>0</v>
      </c>
      <c r="N363" s="1"/>
      <c r="O363">
        <v>0</v>
      </c>
      <c r="P363">
        <v>3</v>
      </c>
      <c r="Q363">
        <v>0</v>
      </c>
      <c r="R363" s="1">
        <f t="shared" si="77"/>
        <v>0</v>
      </c>
      <c r="S363" s="1">
        <f t="shared" si="78"/>
        <v>2</v>
      </c>
      <c r="T363" s="1">
        <f t="shared" si="79"/>
        <v>1</v>
      </c>
      <c r="U363" s="1">
        <f t="shared" si="80"/>
        <v>3</v>
      </c>
      <c r="V363" s="1">
        <f t="shared" si="81"/>
        <v>7</v>
      </c>
      <c r="W363" s="1" t="str">
        <f t="shared" si="82"/>
        <v>FO</v>
      </c>
      <c r="X363" t="s">
        <v>39</v>
      </c>
      <c r="Y363" t="s">
        <v>149</v>
      </c>
      <c r="AJ363">
        <f t="shared" si="83"/>
        <v>0</v>
      </c>
      <c r="AK363">
        <f t="shared" si="84"/>
        <v>0</v>
      </c>
      <c r="AL363">
        <f t="shared" si="85"/>
        <v>0</v>
      </c>
      <c r="AM363">
        <f t="shared" si="75"/>
        <v>0</v>
      </c>
      <c r="AN363">
        <f t="shared" si="86"/>
        <v>7</v>
      </c>
      <c r="AO363">
        <f t="shared" si="87"/>
        <v>0</v>
      </c>
      <c r="AP363">
        <f t="shared" si="88"/>
        <v>1</v>
      </c>
      <c r="AQ363">
        <f t="shared" si="76"/>
        <v>0</v>
      </c>
      <c r="AR363">
        <f t="shared" si="89"/>
        <v>1</v>
      </c>
    </row>
    <row r="364" spans="1:44" x14ac:dyDescent="0.25">
      <c r="A364" t="s">
        <v>412</v>
      </c>
      <c r="B364">
        <v>0</v>
      </c>
      <c r="I364" s="1">
        <v>0</v>
      </c>
      <c r="J364" s="1"/>
      <c r="K364" s="1"/>
      <c r="L364" s="1"/>
      <c r="M364" s="1" t="b">
        <v>0</v>
      </c>
      <c r="N364" s="1"/>
      <c r="O364">
        <v>0</v>
      </c>
      <c r="P364">
        <v>1</v>
      </c>
      <c r="Q364">
        <v>0</v>
      </c>
      <c r="R364" s="1">
        <f t="shared" si="77"/>
        <v>0</v>
      </c>
      <c r="S364" s="1">
        <f t="shared" si="78"/>
        <v>0</v>
      </c>
      <c r="T364" s="1">
        <f t="shared" si="79"/>
        <v>1</v>
      </c>
      <c r="U364" s="1">
        <f t="shared" si="80"/>
        <v>1</v>
      </c>
      <c r="V364" s="1">
        <f t="shared" si="81"/>
        <v>0</v>
      </c>
      <c r="W364" s="1" t="str">
        <f t="shared" si="82"/>
        <v>GO</v>
      </c>
      <c r="X364" t="s">
        <v>39</v>
      </c>
      <c r="Y364" t="s">
        <v>149</v>
      </c>
      <c r="AB364">
        <v>1</v>
      </c>
      <c r="AJ364">
        <f t="shared" si="83"/>
        <v>0</v>
      </c>
      <c r="AK364">
        <f t="shared" si="84"/>
        <v>0</v>
      </c>
      <c r="AL364">
        <f t="shared" si="85"/>
        <v>0</v>
      </c>
      <c r="AM364">
        <f t="shared" si="75"/>
        <v>0</v>
      </c>
      <c r="AN364">
        <f t="shared" si="86"/>
        <v>0</v>
      </c>
      <c r="AO364">
        <f t="shared" si="87"/>
        <v>0</v>
      </c>
      <c r="AP364">
        <f t="shared" si="88"/>
        <v>0</v>
      </c>
      <c r="AQ364">
        <f t="shared" si="76"/>
        <v>0</v>
      </c>
      <c r="AR364">
        <f t="shared" si="89"/>
        <v>0</v>
      </c>
    </row>
    <row r="365" spans="1:44" x14ac:dyDescent="0.25">
      <c r="A365" t="s">
        <v>413</v>
      </c>
      <c r="B365">
        <v>0</v>
      </c>
      <c r="D365" t="s">
        <v>6</v>
      </c>
      <c r="G365" t="s">
        <v>3</v>
      </c>
      <c r="I365" s="1">
        <v>0</v>
      </c>
      <c r="J365" s="1"/>
      <c r="K365" s="1" t="s">
        <v>6</v>
      </c>
      <c r="L365" s="1"/>
      <c r="M365" s="1" t="b">
        <v>0</v>
      </c>
      <c r="N365" s="1"/>
      <c r="O365">
        <v>0</v>
      </c>
      <c r="P365">
        <v>1</v>
      </c>
      <c r="Q365">
        <v>2</v>
      </c>
      <c r="R365" s="1">
        <f t="shared" si="77"/>
        <v>0</v>
      </c>
      <c r="S365" s="1">
        <f t="shared" si="78"/>
        <v>0</v>
      </c>
      <c r="T365" s="1">
        <f t="shared" si="79"/>
        <v>1</v>
      </c>
      <c r="U365" s="1">
        <f t="shared" si="80"/>
        <v>1</v>
      </c>
      <c r="V365" s="1">
        <f t="shared" si="81"/>
        <v>2</v>
      </c>
      <c r="W365" s="1" t="str">
        <f t="shared" si="82"/>
        <v>GO</v>
      </c>
      <c r="X365" t="s">
        <v>39</v>
      </c>
      <c r="Y365" t="s">
        <v>149</v>
      </c>
      <c r="AB365">
        <v>1</v>
      </c>
      <c r="AJ365">
        <f t="shared" si="83"/>
        <v>10</v>
      </c>
      <c r="AK365">
        <f t="shared" si="84"/>
        <v>10</v>
      </c>
      <c r="AL365">
        <f t="shared" si="85"/>
        <v>2</v>
      </c>
      <c r="AM365">
        <f t="shared" si="75"/>
        <v>2</v>
      </c>
      <c r="AN365">
        <f t="shared" si="86"/>
        <v>2</v>
      </c>
      <c r="AO365">
        <f t="shared" si="87"/>
        <v>2</v>
      </c>
      <c r="AP365">
        <f t="shared" si="88"/>
        <v>0</v>
      </c>
      <c r="AQ365">
        <f t="shared" si="76"/>
        <v>0</v>
      </c>
      <c r="AR365">
        <f t="shared" si="89"/>
        <v>0</v>
      </c>
    </row>
    <row r="366" spans="1:44" x14ac:dyDescent="0.25">
      <c r="A366" t="s">
        <v>414</v>
      </c>
      <c r="B366">
        <v>0</v>
      </c>
      <c r="E366" t="s">
        <v>7</v>
      </c>
      <c r="H366" t="s">
        <v>4</v>
      </c>
      <c r="I366" s="1">
        <v>0</v>
      </c>
      <c r="J366" s="1"/>
      <c r="K366" s="1"/>
      <c r="L366" s="1" t="s">
        <v>7</v>
      </c>
      <c r="M366" s="1" t="b">
        <v>0</v>
      </c>
      <c r="N366" s="1"/>
      <c r="O366">
        <v>0</v>
      </c>
      <c r="P366">
        <v>1</v>
      </c>
      <c r="Q366">
        <v>3</v>
      </c>
      <c r="R366" s="1">
        <f t="shared" si="77"/>
        <v>0</v>
      </c>
      <c r="S366" s="1">
        <f t="shared" si="78"/>
        <v>0</v>
      </c>
      <c r="T366" s="1">
        <f t="shared" si="79"/>
        <v>1</v>
      </c>
      <c r="U366" s="1">
        <f t="shared" si="80"/>
        <v>1</v>
      </c>
      <c r="V366" s="1">
        <f t="shared" si="81"/>
        <v>3</v>
      </c>
      <c r="W366" s="1" t="str">
        <f t="shared" si="82"/>
        <v>GO</v>
      </c>
      <c r="X366" t="s">
        <v>39</v>
      </c>
      <c r="Y366" t="s">
        <v>149</v>
      </c>
      <c r="AB366">
        <v>1</v>
      </c>
      <c r="AJ366">
        <f t="shared" si="83"/>
        <v>100</v>
      </c>
      <c r="AK366">
        <f t="shared" si="84"/>
        <v>100</v>
      </c>
      <c r="AL366">
        <f t="shared" si="85"/>
        <v>3</v>
      </c>
      <c r="AM366">
        <f t="shared" si="75"/>
        <v>3</v>
      </c>
      <c r="AN366">
        <f t="shared" si="86"/>
        <v>3</v>
      </c>
      <c r="AO366">
        <f t="shared" si="87"/>
        <v>3</v>
      </c>
      <c r="AP366">
        <f t="shared" si="88"/>
        <v>0</v>
      </c>
      <c r="AQ366">
        <f t="shared" si="76"/>
        <v>0</v>
      </c>
      <c r="AR366">
        <f t="shared" si="89"/>
        <v>0</v>
      </c>
    </row>
    <row r="367" spans="1:44" x14ac:dyDescent="0.25">
      <c r="A367" t="s">
        <v>415</v>
      </c>
      <c r="B367">
        <v>0</v>
      </c>
      <c r="D367" t="s">
        <v>6</v>
      </c>
      <c r="E367" t="s">
        <v>7</v>
      </c>
      <c r="G367" t="s">
        <v>3</v>
      </c>
      <c r="H367" t="s">
        <v>4</v>
      </c>
      <c r="I367" s="1">
        <v>0</v>
      </c>
      <c r="J367" s="1"/>
      <c r="K367" s="1" t="s">
        <v>6</v>
      </c>
      <c r="L367" s="1" t="s">
        <v>7</v>
      </c>
      <c r="M367" s="1" t="b">
        <v>0</v>
      </c>
      <c r="N367" s="1"/>
      <c r="O367">
        <v>0</v>
      </c>
      <c r="P367">
        <v>1</v>
      </c>
      <c r="Q367">
        <v>6</v>
      </c>
      <c r="R367" s="1">
        <f t="shared" si="77"/>
        <v>0</v>
      </c>
      <c r="S367" s="1">
        <f t="shared" si="78"/>
        <v>0</v>
      </c>
      <c r="T367" s="1">
        <f t="shared" si="79"/>
        <v>1</v>
      </c>
      <c r="U367" s="1">
        <f t="shared" si="80"/>
        <v>1</v>
      </c>
      <c r="V367" s="1">
        <f t="shared" si="81"/>
        <v>6</v>
      </c>
      <c r="W367" s="1" t="str">
        <f t="shared" si="82"/>
        <v>GO</v>
      </c>
      <c r="X367" t="s">
        <v>39</v>
      </c>
      <c r="Y367" t="s">
        <v>149</v>
      </c>
      <c r="AB367">
        <v>1</v>
      </c>
      <c r="AJ367">
        <f t="shared" si="83"/>
        <v>110</v>
      </c>
      <c r="AK367">
        <f t="shared" si="84"/>
        <v>110</v>
      </c>
      <c r="AL367">
        <f t="shared" si="85"/>
        <v>6</v>
      </c>
      <c r="AM367">
        <f t="shared" si="75"/>
        <v>6</v>
      </c>
      <c r="AN367">
        <f t="shared" si="86"/>
        <v>6</v>
      </c>
      <c r="AO367">
        <f t="shared" si="87"/>
        <v>6</v>
      </c>
      <c r="AP367">
        <f t="shared" si="88"/>
        <v>0</v>
      </c>
      <c r="AQ367">
        <f t="shared" si="76"/>
        <v>0</v>
      </c>
      <c r="AR367">
        <f t="shared" si="89"/>
        <v>0</v>
      </c>
    </row>
    <row r="368" spans="1:44" x14ac:dyDescent="0.25">
      <c r="A368" t="s">
        <v>416</v>
      </c>
      <c r="B368">
        <v>0</v>
      </c>
      <c r="I368" s="1">
        <v>0</v>
      </c>
      <c r="J368" s="1"/>
      <c r="K368" s="1"/>
      <c r="L368" s="1"/>
      <c r="M368" s="1" t="b">
        <v>0</v>
      </c>
      <c r="N368" s="1"/>
      <c r="O368">
        <v>0</v>
      </c>
      <c r="P368">
        <v>2</v>
      </c>
      <c r="Q368">
        <v>0</v>
      </c>
      <c r="R368" s="1">
        <f t="shared" si="77"/>
        <v>0</v>
      </c>
      <c r="S368" s="1">
        <f t="shared" si="78"/>
        <v>1</v>
      </c>
      <c r="T368" s="1">
        <f t="shared" si="79"/>
        <v>1</v>
      </c>
      <c r="U368" s="1">
        <f t="shared" si="80"/>
        <v>2</v>
      </c>
      <c r="V368" s="1">
        <f t="shared" si="81"/>
        <v>0</v>
      </c>
      <c r="W368" s="1" t="str">
        <f t="shared" si="82"/>
        <v>GO</v>
      </c>
      <c r="X368" t="s">
        <v>39</v>
      </c>
      <c r="Y368" t="s">
        <v>149</v>
      </c>
      <c r="AB368">
        <v>1</v>
      </c>
      <c r="AJ368">
        <f t="shared" si="83"/>
        <v>0</v>
      </c>
      <c r="AK368">
        <f t="shared" si="84"/>
        <v>0</v>
      </c>
      <c r="AL368">
        <f t="shared" si="85"/>
        <v>0</v>
      </c>
      <c r="AM368">
        <f t="shared" si="75"/>
        <v>0</v>
      </c>
      <c r="AN368">
        <f t="shared" si="86"/>
        <v>0</v>
      </c>
      <c r="AO368">
        <f t="shared" si="87"/>
        <v>0</v>
      </c>
      <c r="AP368">
        <f t="shared" si="88"/>
        <v>0</v>
      </c>
      <c r="AQ368">
        <f t="shared" si="76"/>
        <v>0</v>
      </c>
      <c r="AR368">
        <f t="shared" si="89"/>
        <v>0</v>
      </c>
    </row>
    <row r="369" spans="1:44" x14ac:dyDescent="0.25">
      <c r="A369" t="s">
        <v>417</v>
      </c>
      <c r="B369">
        <v>0</v>
      </c>
      <c r="D369" t="s">
        <v>6</v>
      </c>
      <c r="G369" t="s">
        <v>3</v>
      </c>
      <c r="I369" s="1">
        <v>0</v>
      </c>
      <c r="J369" s="1"/>
      <c r="K369" s="1" t="s">
        <v>6</v>
      </c>
      <c r="L369" s="1"/>
      <c r="M369" s="1" t="b">
        <v>0</v>
      </c>
      <c r="N369" s="1"/>
      <c r="O369">
        <v>0</v>
      </c>
      <c r="P369">
        <v>2</v>
      </c>
      <c r="Q369">
        <v>2</v>
      </c>
      <c r="R369" s="1">
        <f t="shared" si="77"/>
        <v>0</v>
      </c>
      <c r="S369" s="1">
        <f t="shared" si="78"/>
        <v>1</v>
      </c>
      <c r="T369" s="1">
        <f t="shared" si="79"/>
        <v>1</v>
      </c>
      <c r="U369" s="1">
        <f t="shared" si="80"/>
        <v>2</v>
      </c>
      <c r="V369" s="1">
        <f t="shared" si="81"/>
        <v>2</v>
      </c>
      <c r="W369" s="1" t="str">
        <f t="shared" si="82"/>
        <v>GO</v>
      </c>
      <c r="X369" t="s">
        <v>39</v>
      </c>
      <c r="Y369" t="s">
        <v>149</v>
      </c>
      <c r="AB369">
        <v>1</v>
      </c>
      <c r="AJ369">
        <f t="shared" si="83"/>
        <v>10</v>
      </c>
      <c r="AK369">
        <f t="shared" si="84"/>
        <v>10</v>
      </c>
      <c r="AL369">
        <f t="shared" si="85"/>
        <v>2</v>
      </c>
      <c r="AM369">
        <f t="shared" si="75"/>
        <v>2</v>
      </c>
      <c r="AN369">
        <f t="shared" si="86"/>
        <v>2</v>
      </c>
      <c r="AO369">
        <f t="shared" si="87"/>
        <v>2</v>
      </c>
      <c r="AP369">
        <f t="shared" si="88"/>
        <v>0</v>
      </c>
      <c r="AQ369">
        <f t="shared" si="76"/>
        <v>0</v>
      </c>
      <c r="AR369">
        <f t="shared" si="89"/>
        <v>0</v>
      </c>
    </row>
    <row r="370" spans="1:44" x14ac:dyDescent="0.25">
      <c r="A370" t="s">
        <v>418</v>
      </c>
      <c r="B370">
        <v>0</v>
      </c>
      <c r="E370" t="s">
        <v>7</v>
      </c>
      <c r="H370" t="s">
        <v>4</v>
      </c>
      <c r="I370" s="1">
        <v>0</v>
      </c>
      <c r="J370" s="1"/>
      <c r="K370" s="1"/>
      <c r="L370" s="1" t="s">
        <v>7</v>
      </c>
      <c r="M370" s="1" t="b">
        <v>0</v>
      </c>
      <c r="N370" s="1"/>
      <c r="O370">
        <v>0</v>
      </c>
      <c r="P370">
        <v>2</v>
      </c>
      <c r="Q370">
        <v>3</v>
      </c>
      <c r="R370" s="1">
        <f t="shared" si="77"/>
        <v>0</v>
      </c>
      <c r="S370" s="1">
        <f t="shared" si="78"/>
        <v>1</v>
      </c>
      <c r="T370" s="1">
        <f t="shared" si="79"/>
        <v>1</v>
      </c>
      <c r="U370" s="1">
        <f t="shared" si="80"/>
        <v>2</v>
      </c>
      <c r="V370" s="1">
        <f t="shared" si="81"/>
        <v>3</v>
      </c>
      <c r="W370" s="1" t="str">
        <f t="shared" si="82"/>
        <v>GO</v>
      </c>
      <c r="X370" t="s">
        <v>39</v>
      </c>
      <c r="Y370" t="s">
        <v>149</v>
      </c>
      <c r="AB370">
        <v>1</v>
      </c>
      <c r="AJ370">
        <f t="shared" si="83"/>
        <v>100</v>
      </c>
      <c r="AK370">
        <f t="shared" si="84"/>
        <v>100</v>
      </c>
      <c r="AL370">
        <f t="shared" si="85"/>
        <v>3</v>
      </c>
      <c r="AM370">
        <f t="shared" si="75"/>
        <v>3</v>
      </c>
      <c r="AN370">
        <f t="shared" si="86"/>
        <v>3</v>
      </c>
      <c r="AO370">
        <f t="shared" si="87"/>
        <v>3</v>
      </c>
      <c r="AP370">
        <f t="shared" si="88"/>
        <v>0</v>
      </c>
      <c r="AQ370">
        <f t="shared" si="76"/>
        <v>0</v>
      </c>
      <c r="AR370">
        <f t="shared" si="89"/>
        <v>0</v>
      </c>
    </row>
    <row r="371" spans="1:44" x14ac:dyDescent="0.25">
      <c r="A371" t="s">
        <v>419</v>
      </c>
      <c r="B371">
        <v>0</v>
      </c>
      <c r="D371" t="s">
        <v>6</v>
      </c>
      <c r="E371" t="s">
        <v>7</v>
      </c>
      <c r="G371" t="s">
        <v>3</v>
      </c>
      <c r="H371" t="s">
        <v>4</v>
      </c>
      <c r="I371" s="1">
        <v>0</v>
      </c>
      <c r="J371" s="1"/>
      <c r="K371" s="1" t="s">
        <v>6</v>
      </c>
      <c r="L371" s="1" t="s">
        <v>7</v>
      </c>
      <c r="M371" s="1" t="b">
        <v>0</v>
      </c>
      <c r="N371" s="1"/>
      <c r="O371">
        <v>0</v>
      </c>
      <c r="P371">
        <v>2</v>
      </c>
      <c r="Q371">
        <v>6</v>
      </c>
      <c r="R371" s="1">
        <f t="shared" si="77"/>
        <v>0</v>
      </c>
      <c r="S371" s="1">
        <f t="shared" si="78"/>
        <v>1</v>
      </c>
      <c r="T371" s="1">
        <f t="shared" si="79"/>
        <v>1</v>
      </c>
      <c r="U371" s="1">
        <f t="shared" si="80"/>
        <v>2</v>
      </c>
      <c r="V371" s="1">
        <f t="shared" si="81"/>
        <v>6</v>
      </c>
      <c r="W371" s="1" t="str">
        <f t="shared" si="82"/>
        <v>GO</v>
      </c>
      <c r="X371" t="s">
        <v>39</v>
      </c>
      <c r="Y371" t="s">
        <v>149</v>
      </c>
      <c r="AB371">
        <v>1</v>
      </c>
      <c r="AJ371">
        <f t="shared" si="83"/>
        <v>110</v>
      </c>
      <c r="AK371">
        <f t="shared" si="84"/>
        <v>110</v>
      </c>
      <c r="AL371">
        <f t="shared" si="85"/>
        <v>6</v>
      </c>
      <c r="AM371">
        <f t="shared" si="75"/>
        <v>6</v>
      </c>
      <c r="AN371">
        <f t="shared" si="86"/>
        <v>6</v>
      </c>
      <c r="AO371">
        <f t="shared" si="87"/>
        <v>6</v>
      </c>
      <c r="AP371">
        <f t="shared" si="88"/>
        <v>0</v>
      </c>
      <c r="AQ371">
        <f t="shared" si="76"/>
        <v>0</v>
      </c>
      <c r="AR371">
        <f t="shared" si="89"/>
        <v>0</v>
      </c>
    </row>
    <row r="372" spans="1:44" x14ac:dyDescent="0.25">
      <c r="A372" t="s">
        <v>420</v>
      </c>
      <c r="B372">
        <v>0</v>
      </c>
      <c r="I372" s="1">
        <v>0</v>
      </c>
      <c r="J372" s="1"/>
      <c r="K372" s="1"/>
      <c r="L372" s="1"/>
      <c r="M372" s="1" t="b">
        <v>0</v>
      </c>
      <c r="N372" s="1"/>
      <c r="O372">
        <v>0</v>
      </c>
      <c r="P372">
        <v>3</v>
      </c>
      <c r="Q372">
        <v>0</v>
      </c>
      <c r="R372" s="1">
        <f t="shared" si="77"/>
        <v>0</v>
      </c>
      <c r="S372" s="1">
        <f t="shared" si="78"/>
        <v>2</v>
      </c>
      <c r="T372" s="1">
        <f t="shared" si="79"/>
        <v>1</v>
      </c>
      <c r="U372" s="1">
        <f t="shared" si="80"/>
        <v>3</v>
      </c>
      <c r="V372" s="1">
        <f t="shared" si="81"/>
        <v>0</v>
      </c>
      <c r="W372" s="1" t="str">
        <f t="shared" si="82"/>
        <v>GO</v>
      </c>
      <c r="X372" t="s">
        <v>39</v>
      </c>
      <c r="Y372" t="s">
        <v>149</v>
      </c>
      <c r="AB372">
        <v>1</v>
      </c>
      <c r="AJ372">
        <f t="shared" si="83"/>
        <v>0</v>
      </c>
      <c r="AK372">
        <f t="shared" si="84"/>
        <v>0</v>
      </c>
      <c r="AL372">
        <f t="shared" si="85"/>
        <v>0</v>
      </c>
      <c r="AM372">
        <f t="shared" si="75"/>
        <v>0</v>
      </c>
      <c r="AN372">
        <f t="shared" si="86"/>
        <v>0</v>
      </c>
      <c r="AO372">
        <f t="shared" si="87"/>
        <v>0</v>
      </c>
      <c r="AP372">
        <f t="shared" si="88"/>
        <v>0</v>
      </c>
      <c r="AQ372">
        <f t="shared" si="76"/>
        <v>0</v>
      </c>
      <c r="AR372">
        <f t="shared" si="89"/>
        <v>0</v>
      </c>
    </row>
    <row r="373" spans="1:44" x14ac:dyDescent="0.25">
      <c r="A373" t="s">
        <v>421</v>
      </c>
      <c r="B373">
        <v>0</v>
      </c>
      <c r="I373" s="1">
        <v>0</v>
      </c>
      <c r="J373" s="1" t="s">
        <v>5</v>
      </c>
      <c r="K373" s="1"/>
      <c r="L373" s="1"/>
      <c r="M373" s="1" t="b">
        <v>0</v>
      </c>
      <c r="N373" s="1"/>
      <c r="O373">
        <v>0</v>
      </c>
      <c r="P373">
        <v>3</v>
      </c>
      <c r="Q373">
        <v>0</v>
      </c>
      <c r="R373" s="1">
        <f t="shared" si="77"/>
        <v>0</v>
      </c>
      <c r="S373" s="1">
        <f t="shared" si="78"/>
        <v>2</v>
      </c>
      <c r="T373" s="1">
        <f t="shared" si="79"/>
        <v>1</v>
      </c>
      <c r="U373" s="1">
        <f t="shared" si="80"/>
        <v>3</v>
      </c>
      <c r="V373" s="1">
        <f t="shared" si="81"/>
        <v>1</v>
      </c>
      <c r="W373" s="1" t="str">
        <f t="shared" si="82"/>
        <v>GO</v>
      </c>
      <c r="X373" t="s">
        <v>39</v>
      </c>
      <c r="Y373" t="s">
        <v>149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f t="shared" si="83"/>
        <v>0</v>
      </c>
      <c r="AK373">
        <f t="shared" si="84"/>
        <v>0</v>
      </c>
      <c r="AL373">
        <f t="shared" si="85"/>
        <v>0</v>
      </c>
      <c r="AM373">
        <f t="shared" si="75"/>
        <v>0</v>
      </c>
      <c r="AN373">
        <f t="shared" si="86"/>
        <v>1</v>
      </c>
      <c r="AO373">
        <f t="shared" si="87"/>
        <v>0</v>
      </c>
      <c r="AP373">
        <f t="shared" si="88"/>
        <v>1</v>
      </c>
      <c r="AQ373">
        <f t="shared" si="76"/>
        <v>0</v>
      </c>
      <c r="AR373">
        <f t="shared" si="89"/>
        <v>1</v>
      </c>
    </row>
    <row r="374" spans="1:44" x14ac:dyDescent="0.25">
      <c r="A374" t="s">
        <v>422</v>
      </c>
      <c r="B374">
        <v>0</v>
      </c>
      <c r="I374" s="1">
        <v>0</v>
      </c>
      <c r="J374" s="1"/>
      <c r="K374" s="1" t="s">
        <v>6</v>
      </c>
      <c r="L374" s="1"/>
      <c r="M374" s="1" t="b">
        <v>0</v>
      </c>
      <c r="N374" s="1"/>
      <c r="O374">
        <v>0</v>
      </c>
      <c r="P374">
        <v>3</v>
      </c>
      <c r="Q374">
        <v>0</v>
      </c>
      <c r="R374" s="1">
        <f t="shared" si="77"/>
        <v>0</v>
      </c>
      <c r="S374" s="1">
        <f t="shared" si="78"/>
        <v>2</v>
      </c>
      <c r="T374" s="1">
        <f t="shared" si="79"/>
        <v>1</v>
      </c>
      <c r="U374" s="1">
        <f t="shared" si="80"/>
        <v>3</v>
      </c>
      <c r="V374" s="1">
        <f t="shared" si="81"/>
        <v>2</v>
      </c>
      <c r="W374" s="1" t="str">
        <f t="shared" si="82"/>
        <v>GO</v>
      </c>
      <c r="X374" t="s">
        <v>39</v>
      </c>
      <c r="Y374" t="s">
        <v>149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f t="shared" si="83"/>
        <v>0</v>
      </c>
      <c r="AK374">
        <f t="shared" si="84"/>
        <v>0</v>
      </c>
      <c r="AL374">
        <f t="shared" si="85"/>
        <v>0</v>
      </c>
      <c r="AM374">
        <f t="shared" si="75"/>
        <v>0</v>
      </c>
      <c r="AN374">
        <f t="shared" si="86"/>
        <v>2</v>
      </c>
      <c r="AO374">
        <f t="shared" si="87"/>
        <v>0</v>
      </c>
      <c r="AP374">
        <f t="shared" si="88"/>
        <v>1</v>
      </c>
      <c r="AQ374">
        <f t="shared" si="76"/>
        <v>0</v>
      </c>
      <c r="AR374">
        <f t="shared" si="89"/>
        <v>1</v>
      </c>
    </row>
    <row r="375" spans="1:44" x14ac:dyDescent="0.25">
      <c r="A375" t="s">
        <v>423</v>
      </c>
      <c r="B375">
        <v>0</v>
      </c>
      <c r="I375" s="1">
        <v>0</v>
      </c>
      <c r="J375" s="1"/>
      <c r="K375" s="1"/>
      <c r="L375" s="1" t="s">
        <v>7</v>
      </c>
      <c r="M375" s="1" t="b">
        <v>0</v>
      </c>
      <c r="N375" s="1"/>
      <c r="O375">
        <v>0</v>
      </c>
      <c r="P375">
        <v>3</v>
      </c>
      <c r="Q375">
        <v>0</v>
      </c>
      <c r="R375" s="1">
        <f t="shared" si="77"/>
        <v>0</v>
      </c>
      <c r="S375" s="1">
        <f t="shared" si="78"/>
        <v>2</v>
      </c>
      <c r="T375" s="1">
        <f t="shared" si="79"/>
        <v>1</v>
      </c>
      <c r="U375" s="1">
        <f t="shared" si="80"/>
        <v>3</v>
      </c>
      <c r="V375" s="1">
        <f t="shared" si="81"/>
        <v>3</v>
      </c>
      <c r="W375" s="1" t="str">
        <f t="shared" si="82"/>
        <v>GO</v>
      </c>
      <c r="X375" t="s">
        <v>39</v>
      </c>
      <c r="Y375" t="s">
        <v>149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f t="shared" si="83"/>
        <v>0</v>
      </c>
      <c r="AK375">
        <f t="shared" si="84"/>
        <v>0</v>
      </c>
      <c r="AL375">
        <f t="shared" si="85"/>
        <v>0</v>
      </c>
      <c r="AM375">
        <f t="shared" si="75"/>
        <v>0</v>
      </c>
      <c r="AN375">
        <f t="shared" si="86"/>
        <v>3</v>
      </c>
      <c r="AO375">
        <f t="shared" si="87"/>
        <v>0</v>
      </c>
      <c r="AP375">
        <f t="shared" si="88"/>
        <v>1</v>
      </c>
      <c r="AQ375">
        <f t="shared" si="76"/>
        <v>0</v>
      </c>
      <c r="AR375">
        <f t="shared" si="89"/>
        <v>1</v>
      </c>
    </row>
    <row r="376" spans="1:44" x14ac:dyDescent="0.25">
      <c r="A376" t="s">
        <v>424</v>
      </c>
      <c r="B376">
        <v>0</v>
      </c>
      <c r="I376" s="1">
        <v>0</v>
      </c>
      <c r="J376" s="1" t="s">
        <v>5</v>
      </c>
      <c r="K376" s="1" t="s">
        <v>6</v>
      </c>
      <c r="L376" s="1"/>
      <c r="M376" s="1" t="b">
        <v>0</v>
      </c>
      <c r="N376" s="1"/>
      <c r="O376">
        <v>0</v>
      </c>
      <c r="P376">
        <v>3</v>
      </c>
      <c r="Q376">
        <v>0</v>
      </c>
      <c r="R376" s="1">
        <f t="shared" si="77"/>
        <v>0</v>
      </c>
      <c r="S376" s="1">
        <f t="shared" si="78"/>
        <v>2</v>
      </c>
      <c r="T376" s="1">
        <f t="shared" si="79"/>
        <v>1</v>
      </c>
      <c r="U376" s="1">
        <f t="shared" si="80"/>
        <v>3</v>
      </c>
      <c r="V376" s="1">
        <f t="shared" si="81"/>
        <v>4</v>
      </c>
      <c r="W376" s="1" t="str">
        <f t="shared" si="82"/>
        <v>GO</v>
      </c>
      <c r="X376" t="s">
        <v>39</v>
      </c>
      <c r="Y376" t="s">
        <v>149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3</v>
      </c>
      <c r="AI376">
        <v>1</v>
      </c>
      <c r="AJ376">
        <f t="shared" si="83"/>
        <v>0</v>
      </c>
      <c r="AK376">
        <f t="shared" si="84"/>
        <v>0</v>
      </c>
      <c r="AL376">
        <f t="shared" si="85"/>
        <v>0</v>
      </c>
      <c r="AM376">
        <f t="shared" si="75"/>
        <v>0</v>
      </c>
      <c r="AN376">
        <f t="shared" si="86"/>
        <v>4</v>
      </c>
      <c r="AO376">
        <f t="shared" si="87"/>
        <v>0</v>
      </c>
      <c r="AP376">
        <f t="shared" si="88"/>
        <v>1</v>
      </c>
      <c r="AQ376">
        <f t="shared" si="76"/>
        <v>0</v>
      </c>
      <c r="AR376">
        <f t="shared" si="89"/>
        <v>1</v>
      </c>
    </row>
    <row r="377" spans="1:44" x14ac:dyDescent="0.25">
      <c r="A377" t="s">
        <v>425</v>
      </c>
      <c r="B377">
        <v>0</v>
      </c>
      <c r="I377" s="1">
        <v>0</v>
      </c>
      <c r="J377" s="1" t="s">
        <v>5</v>
      </c>
      <c r="K377" s="1"/>
      <c r="L377" s="1" t="s">
        <v>7</v>
      </c>
      <c r="M377" s="1" t="b">
        <v>0</v>
      </c>
      <c r="N377" s="1"/>
      <c r="O377">
        <v>0</v>
      </c>
      <c r="P377">
        <v>3</v>
      </c>
      <c r="Q377">
        <v>0</v>
      </c>
      <c r="R377" s="1">
        <f t="shared" si="77"/>
        <v>0</v>
      </c>
      <c r="S377" s="1">
        <f t="shared" si="78"/>
        <v>2</v>
      </c>
      <c r="T377" s="1">
        <f t="shared" si="79"/>
        <v>1</v>
      </c>
      <c r="U377" s="1">
        <f t="shared" si="80"/>
        <v>3</v>
      </c>
      <c r="V377" s="1">
        <f t="shared" si="81"/>
        <v>5</v>
      </c>
      <c r="W377" s="1" t="str">
        <f t="shared" si="82"/>
        <v>GO</v>
      </c>
      <c r="X377" t="s">
        <v>39</v>
      </c>
      <c r="Y377" t="s">
        <v>149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f t="shared" si="83"/>
        <v>0</v>
      </c>
      <c r="AK377">
        <f t="shared" si="84"/>
        <v>0</v>
      </c>
      <c r="AL377">
        <f t="shared" si="85"/>
        <v>0</v>
      </c>
      <c r="AM377">
        <f t="shared" si="75"/>
        <v>0</v>
      </c>
      <c r="AN377">
        <f t="shared" si="86"/>
        <v>5</v>
      </c>
      <c r="AO377">
        <f t="shared" si="87"/>
        <v>0</v>
      </c>
      <c r="AP377">
        <f t="shared" si="88"/>
        <v>1</v>
      </c>
      <c r="AQ377">
        <f t="shared" si="76"/>
        <v>0</v>
      </c>
      <c r="AR377">
        <f t="shared" si="89"/>
        <v>1</v>
      </c>
    </row>
    <row r="378" spans="1:44" x14ac:dyDescent="0.25">
      <c r="A378" t="s">
        <v>426</v>
      </c>
      <c r="B378">
        <v>0</v>
      </c>
      <c r="I378" s="1">
        <v>0</v>
      </c>
      <c r="J378" s="1"/>
      <c r="K378" s="1" t="s">
        <v>6</v>
      </c>
      <c r="L378" s="1" t="s">
        <v>7</v>
      </c>
      <c r="M378" s="1" t="b">
        <v>0</v>
      </c>
      <c r="N378" s="1"/>
      <c r="O378">
        <v>0</v>
      </c>
      <c r="P378">
        <v>3</v>
      </c>
      <c r="Q378">
        <v>0</v>
      </c>
      <c r="R378" s="1">
        <f t="shared" si="77"/>
        <v>0</v>
      </c>
      <c r="S378" s="1">
        <f t="shared" si="78"/>
        <v>2</v>
      </c>
      <c r="T378" s="1">
        <f t="shared" si="79"/>
        <v>1</v>
      </c>
      <c r="U378" s="1">
        <f t="shared" si="80"/>
        <v>3</v>
      </c>
      <c r="V378" s="1">
        <f t="shared" si="81"/>
        <v>6</v>
      </c>
      <c r="W378" s="1" t="str">
        <f t="shared" si="82"/>
        <v>GO</v>
      </c>
      <c r="X378" t="s">
        <v>39</v>
      </c>
      <c r="Y378" t="s">
        <v>149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f t="shared" si="83"/>
        <v>0</v>
      </c>
      <c r="AK378">
        <f t="shared" si="84"/>
        <v>0</v>
      </c>
      <c r="AL378">
        <f t="shared" si="85"/>
        <v>0</v>
      </c>
      <c r="AM378">
        <f t="shared" si="75"/>
        <v>0</v>
      </c>
      <c r="AN378">
        <f t="shared" si="86"/>
        <v>6</v>
      </c>
      <c r="AO378">
        <f t="shared" si="87"/>
        <v>0</v>
      </c>
      <c r="AP378">
        <f t="shared" si="88"/>
        <v>1</v>
      </c>
      <c r="AQ378">
        <f t="shared" si="76"/>
        <v>0</v>
      </c>
      <c r="AR378">
        <f t="shared" si="89"/>
        <v>1</v>
      </c>
    </row>
    <row r="379" spans="1:44" x14ac:dyDescent="0.25">
      <c r="A379" t="s">
        <v>427</v>
      </c>
      <c r="B379">
        <v>0</v>
      </c>
      <c r="I379" s="1">
        <v>0</v>
      </c>
      <c r="J379" s="1" t="s">
        <v>5</v>
      </c>
      <c r="K379" s="1" t="s">
        <v>6</v>
      </c>
      <c r="L379" s="1" t="s">
        <v>7</v>
      </c>
      <c r="M379" s="1" t="b">
        <v>0</v>
      </c>
      <c r="N379" s="1"/>
      <c r="O379">
        <v>0</v>
      </c>
      <c r="P379">
        <v>3</v>
      </c>
      <c r="Q379">
        <v>0</v>
      </c>
      <c r="R379" s="1">
        <f t="shared" si="77"/>
        <v>0</v>
      </c>
      <c r="S379" s="1">
        <f t="shared" si="78"/>
        <v>2</v>
      </c>
      <c r="T379" s="1">
        <f t="shared" si="79"/>
        <v>1</v>
      </c>
      <c r="U379" s="1">
        <f t="shared" si="80"/>
        <v>3</v>
      </c>
      <c r="V379" s="1">
        <f t="shared" si="81"/>
        <v>7</v>
      </c>
      <c r="W379" s="1" t="str">
        <f t="shared" si="82"/>
        <v>GO</v>
      </c>
      <c r="X379" t="s">
        <v>39</v>
      </c>
      <c r="Y379" t="s">
        <v>149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f t="shared" si="83"/>
        <v>0</v>
      </c>
      <c r="AK379">
        <f t="shared" si="84"/>
        <v>0</v>
      </c>
      <c r="AL379">
        <f t="shared" si="85"/>
        <v>0</v>
      </c>
      <c r="AM379">
        <f t="shared" si="75"/>
        <v>0</v>
      </c>
      <c r="AN379">
        <f t="shared" si="86"/>
        <v>7</v>
      </c>
      <c r="AO379">
        <f t="shared" si="87"/>
        <v>0</v>
      </c>
      <c r="AP379">
        <f t="shared" si="88"/>
        <v>1</v>
      </c>
      <c r="AQ379">
        <f t="shared" si="76"/>
        <v>0</v>
      </c>
      <c r="AR379">
        <f t="shared" si="89"/>
        <v>1</v>
      </c>
    </row>
    <row r="380" spans="1:44" x14ac:dyDescent="0.25">
      <c r="A380" t="s">
        <v>428</v>
      </c>
      <c r="B380">
        <v>0</v>
      </c>
      <c r="C380" t="s">
        <v>6</v>
      </c>
      <c r="G380" t="s">
        <v>2</v>
      </c>
      <c r="I380" s="1">
        <v>0</v>
      </c>
      <c r="J380" s="1" t="s">
        <v>6</v>
      </c>
      <c r="K380" s="1"/>
      <c r="L380" s="1"/>
      <c r="M380" s="1" t="b">
        <v>0</v>
      </c>
      <c r="N380" s="1"/>
      <c r="O380">
        <v>0</v>
      </c>
      <c r="P380">
        <v>1</v>
      </c>
      <c r="Q380">
        <v>2</v>
      </c>
      <c r="R380" s="1">
        <f t="shared" si="77"/>
        <v>0</v>
      </c>
      <c r="S380" s="1">
        <f t="shared" si="78"/>
        <v>0</v>
      </c>
      <c r="T380" s="1">
        <f t="shared" si="79"/>
        <v>1</v>
      </c>
      <c r="U380" s="1">
        <f t="shared" si="80"/>
        <v>1</v>
      </c>
      <c r="V380" s="1">
        <f t="shared" si="81"/>
        <v>1</v>
      </c>
      <c r="W380" s="1" t="str">
        <f t="shared" si="82"/>
        <v>GORA</v>
      </c>
      <c r="X380" t="s">
        <v>39</v>
      </c>
      <c r="Y380" t="s">
        <v>149</v>
      </c>
      <c r="AB380">
        <v>1</v>
      </c>
      <c r="AJ380">
        <f t="shared" si="83"/>
        <v>1</v>
      </c>
      <c r="AK380">
        <f t="shared" si="84"/>
        <v>10</v>
      </c>
      <c r="AL380">
        <f t="shared" si="85"/>
        <v>1</v>
      </c>
      <c r="AM380">
        <f t="shared" si="75"/>
        <v>2</v>
      </c>
      <c r="AN380">
        <f t="shared" si="86"/>
        <v>1</v>
      </c>
      <c r="AO380">
        <f t="shared" si="87"/>
        <v>2</v>
      </c>
      <c r="AP380">
        <f t="shared" si="88"/>
        <v>0</v>
      </c>
      <c r="AQ380">
        <f t="shared" si="76"/>
        <v>0</v>
      </c>
      <c r="AR380">
        <f t="shared" si="89"/>
        <v>0</v>
      </c>
    </row>
    <row r="381" spans="1:44" x14ac:dyDescent="0.25">
      <c r="A381" t="s">
        <v>429</v>
      </c>
      <c r="B381">
        <v>0</v>
      </c>
      <c r="D381" t="s">
        <v>7</v>
      </c>
      <c r="H381" t="s">
        <v>3</v>
      </c>
      <c r="I381" s="1">
        <v>0</v>
      </c>
      <c r="J381" s="1"/>
      <c r="K381" s="1" t="s">
        <v>7</v>
      </c>
      <c r="L381" s="1"/>
      <c r="M381" s="1" t="b">
        <v>0</v>
      </c>
      <c r="N381" s="1"/>
      <c r="O381">
        <v>0</v>
      </c>
      <c r="P381">
        <v>1</v>
      </c>
      <c r="Q381">
        <v>3</v>
      </c>
      <c r="R381" s="1">
        <f t="shared" si="77"/>
        <v>0</v>
      </c>
      <c r="S381" s="1">
        <f t="shared" si="78"/>
        <v>0</v>
      </c>
      <c r="T381" s="1">
        <f t="shared" si="79"/>
        <v>1</v>
      </c>
      <c r="U381" s="1">
        <f t="shared" si="80"/>
        <v>1</v>
      </c>
      <c r="V381" s="1">
        <f t="shared" si="81"/>
        <v>2</v>
      </c>
      <c r="W381" s="1" t="str">
        <f t="shared" si="82"/>
        <v>GORA</v>
      </c>
      <c r="X381" t="s">
        <v>39</v>
      </c>
      <c r="Y381" t="s">
        <v>149</v>
      </c>
      <c r="AB381">
        <v>1</v>
      </c>
      <c r="AJ381">
        <f t="shared" si="83"/>
        <v>10</v>
      </c>
      <c r="AK381">
        <f t="shared" si="84"/>
        <v>100</v>
      </c>
      <c r="AL381">
        <f t="shared" si="85"/>
        <v>2</v>
      </c>
      <c r="AM381">
        <f t="shared" si="75"/>
        <v>3</v>
      </c>
      <c r="AN381">
        <f t="shared" si="86"/>
        <v>2</v>
      </c>
      <c r="AO381">
        <f t="shared" si="87"/>
        <v>3</v>
      </c>
      <c r="AP381">
        <f t="shared" si="88"/>
        <v>0</v>
      </c>
      <c r="AQ381">
        <f t="shared" si="76"/>
        <v>0</v>
      </c>
      <c r="AR381">
        <f t="shared" si="89"/>
        <v>0</v>
      </c>
    </row>
    <row r="382" spans="1:44" x14ac:dyDescent="0.25">
      <c r="A382" t="s">
        <v>430</v>
      </c>
      <c r="B382">
        <v>0</v>
      </c>
      <c r="E382" t="s">
        <v>43</v>
      </c>
      <c r="I382" s="1">
        <v>0</v>
      </c>
      <c r="J382" s="1"/>
      <c r="K382" s="1"/>
      <c r="L382" s="1" t="s">
        <v>43</v>
      </c>
      <c r="M382" s="1" t="b">
        <v>0</v>
      </c>
      <c r="N382" s="1"/>
      <c r="O382">
        <v>1</v>
      </c>
      <c r="P382">
        <v>1</v>
      </c>
      <c r="Q382">
        <v>0</v>
      </c>
      <c r="R382" s="1">
        <f t="shared" si="77"/>
        <v>1</v>
      </c>
      <c r="S382" s="1">
        <f t="shared" si="78"/>
        <v>0</v>
      </c>
      <c r="T382" s="1">
        <f t="shared" si="79"/>
        <v>1</v>
      </c>
      <c r="U382" s="1">
        <f t="shared" si="80"/>
        <v>1</v>
      </c>
      <c r="V382" s="1">
        <f t="shared" si="81"/>
        <v>3</v>
      </c>
      <c r="W382" s="1" t="str">
        <f t="shared" si="82"/>
        <v>GORA</v>
      </c>
      <c r="X382" t="s">
        <v>39</v>
      </c>
      <c r="Y382" t="s">
        <v>149</v>
      </c>
      <c r="AB382">
        <v>1</v>
      </c>
      <c r="AJ382">
        <f t="shared" si="83"/>
        <v>100</v>
      </c>
      <c r="AK382">
        <f t="shared" si="84"/>
        <v>0</v>
      </c>
      <c r="AL382">
        <f t="shared" si="85"/>
        <v>3</v>
      </c>
      <c r="AM382">
        <f t="shared" si="75"/>
        <v>0</v>
      </c>
      <c r="AN382">
        <f t="shared" si="86"/>
        <v>3</v>
      </c>
      <c r="AO382">
        <f t="shared" si="87"/>
        <v>0</v>
      </c>
      <c r="AP382">
        <f t="shared" si="88"/>
        <v>0</v>
      </c>
      <c r="AQ382">
        <f t="shared" si="76"/>
        <v>0</v>
      </c>
      <c r="AR382">
        <f t="shared" si="89"/>
        <v>0</v>
      </c>
    </row>
    <row r="383" spans="1:44" x14ac:dyDescent="0.25">
      <c r="A383" t="s">
        <v>431</v>
      </c>
      <c r="B383">
        <v>0</v>
      </c>
      <c r="C383" t="s">
        <v>6</v>
      </c>
      <c r="D383" t="s">
        <v>7</v>
      </c>
      <c r="G383" t="s">
        <v>2</v>
      </c>
      <c r="H383" t="s">
        <v>3</v>
      </c>
      <c r="I383" s="1">
        <v>0</v>
      </c>
      <c r="J383" s="1" t="s">
        <v>6</v>
      </c>
      <c r="K383" s="1" t="s">
        <v>7</v>
      </c>
      <c r="L383" s="1"/>
      <c r="M383" s="1" t="b">
        <v>0</v>
      </c>
      <c r="N383" s="1"/>
      <c r="O383">
        <v>0</v>
      </c>
      <c r="P383">
        <v>1</v>
      </c>
      <c r="Q383">
        <v>6</v>
      </c>
      <c r="R383" s="1">
        <f t="shared" si="77"/>
        <v>0</v>
      </c>
      <c r="S383" s="1">
        <f t="shared" si="78"/>
        <v>0</v>
      </c>
      <c r="T383" s="1">
        <f t="shared" si="79"/>
        <v>1</v>
      </c>
      <c r="U383" s="1">
        <f t="shared" si="80"/>
        <v>1</v>
      </c>
      <c r="V383" s="1">
        <f t="shared" si="81"/>
        <v>4</v>
      </c>
      <c r="W383" s="1" t="str">
        <f t="shared" si="82"/>
        <v>GORA</v>
      </c>
      <c r="X383" t="s">
        <v>39</v>
      </c>
      <c r="Y383" t="s">
        <v>149</v>
      </c>
      <c r="AB383">
        <v>1</v>
      </c>
      <c r="AJ383">
        <f t="shared" si="83"/>
        <v>11</v>
      </c>
      <c r="AK383">
        <f t="shared" si="84"/>
        <v>110</v>
      </c>
      <c r="AL383">
        <f t="shared" si="85"/>
        <v>4</v>
      </c>
      <c r="AM383">
        <f t="shared" si="75"/>
        <v>6</v>
      </c>
      <c r="AN383">
        <f t="shared" si="86"/>
        <v>4</v>
      </c>
      <c r="AO383">
        <f t="shared" si="87"/>
        <v>6</v>
      </c>
      <c r="AP383">
        <f t="shared" si="88"/>
        <v>0</v>
      </c>
      <c r="AQ383">
        <f t="shared" si="76"/>
        <v>0</v>
      </c>
      <c r="AR383">
        <f t="shared" si="89"/>
        <v>0</v>
      </c>
    </row>
    <row r="384" spans="1:44" x14ac:dyDescent="0.25">
      <c r="A384" t="s">
        <v>432</v>
      </c>
      <c r="B384">
        <v>0</v>
      </c>
      <c r="C384" t="s">
        <v>6</v>
      </c>
      <c r="E384" t="s">
        <v>43</v>
      </c>
      <c r="G384" t="s">
        <v>2</v>
      </c>
      <c r="I384" s="1">
        <v>0</v>
      </c>
      <c r="J384" s="1" t="s">
        <v>6</v>
      </c>
      <c r="K384" s="1"/>
      <c r="L384" s="1" t="s">
        <v>43</v>
      </c>
      <c r="M384" s="1" t="b">
        <v>0</v>
      </c>
      <c r="N384" s="1"/>
      <c r="O384">
        <v>1</v>
      </c>
      <c r="P384">
        <v>1</v>
      </c>
      <c r="Q384">
        <v>2</v>
      </c>
      <c r="R384" s="1">
        <f t="shared" si="77"/>
        <v>1</v>
      </c>
      <c r="S384" s="1">
        <f t="shared" si="78"/>
        <v>0</v>
      </c>
      <c r="T384" s="1">
        <f t="shared" si="79"/>
        <v>1</v>
      </c>
      <c r="U384" s="1">
        <f t="shared" si="80"/>
        <v>1</v>
      </c>
      <c r="V384" s="1">
        <f t="shared" si="81"/>
        <v>5</v>
      </c>
      <c r="W384" s="1" t="str">
        <f t="shared" si="82"/>
        <v>GORA</v>
      </c>
      <c r="X384" t="s">
        <v>39</v>
      </c>
      <c r="Y384" t="s">
        <v>149</v>
      </c>
      <c r="AB384">
        <v>1</v>
      </c>
      <c r="AJ384">
        <f t="shared" si="83"/>
        <v>101</v>
      </c>
      <c r="AK384">
        <f t="shared" si="84"/>
        <v>10</v>
      </c>
      <c r="AL384">
        <f t="shared" si="85"/>
        <v>5</v>
      </c>
      <c r="AM384">
        <f t="shared" si="75"/>
        <v>2</v>
      </c>
      <c r="AN384">
        <f t="shared" si="86"/>
        <v>5</v>
      </c>
      <c r="AO384">
        <f t="shared" si="87"/>
        <v>2</v>
      </c>
      <c r="AP384">
        <f t="shared" si="88"/>
        <v>0</v>
      </c>
      <c r="AQ384">
        <f t="shared" si="76"/>
        <v>0</v>
      </c>
      <c r="AR384">
        <f t="shared" si="89"/>
        <v>0</v>
      </c>
    </row>
    <row r="385" spans="1:44" x14ac:dyDescent="0.25">
      <c r="A385" t="s">
        <v>433</v>
      </c>
      <c r="B385">
        <v>0</v>
      </c>
      <c r="D385" t="s">
        <v>7</v>
      </c>
      <c r="E385" t="s">
        <v>43</v>
      </c>
      <c r="H385" t="s">
        <v>3</v>
      </c>
      <c r="I385" s="1">
        <v>0</v>
      </c>
      <c r="J385" s="1"/>
      <c r="K385" s="1" t="s">
        <v>7</v>
      </c>
      <c r="L385" s="1" t="s">
        <v>43</v>
      </c>
      <c r="M385" s="1" t="b">
        <v>0</v>
      </c>
      <c r="N385" s="1"/>
      <c r="O385">
        <v>1</v>
      </c>
      <c r="P385">
        <v>1</v>
      </c>
      <c r="Q385">
        <v>3</v>
      </c>
      <c r="R385" s="1">
        <f t="shared" si="77"/>
        <v>1</v>
      </c>
      <c r="S385" s="1">
        <f t="shared" si="78"/>
        <v>0</v>
      </c>
      <c r="T385" s="1">
        <f t="shared" si="79"/>
        <v>1</v>
      </c>
      <c r="U385" s="1">
        <f t="shared" si="80"/>
        <v>1</v>
      </c>
      <c r="V385" s="1">
        <f t="shared" si="81"/>
        <v>6</v>
      </c>
      <c r="W385" s="1" t="str">
        <f t="shared" si="82"/>
        <v>GORA</v>
      </c>
      <c r="X385" t="s">
        <v>39</v>
      </c>
      <c r="Y385" t="s">
        <v>149</v>
      </c>
      <c r="AB385">
        <v>1</v>
      </c>
      <c r="AJ385">
        <f t="shared" si="83"/>
        <v>110</v>
      </c>
      <c r="AK385">
        <f t="shared" si="84"/>
        <v>100</v>
      </c>
      <c r="AL385">
        <f t="shared" si="85"/>
        <v>6</v>
      </c>
      <c r="AM385">
        <f t="shared" si="75"/>
        <v>3</v>
      </c>
      <c r="AN385">
        <f t="shared" si="86"/>
        <v>6</v>
      </c>
      <c r="AO385">
        <f t="shared" si="87"/>
        <v>3</v>
      </c>
      <c r="AP385">
        <f t="shared" si="88"/>
        <v>0</v>
      </c>
      <c r="AQ385">
        <f t="shared" si="76"/>
        <v>0</v>
      </c>
      <c r="AR385">
        <f t="shared" si="89"/>
        <v>0</v>
      </c>
    </row>
    <row r="386" spans="1:44" x14ac:dyDescent="0.25">
      <c r="A386" t="s">
        <v>434</v>
      </c>
      <c r="B386">
        <v>0</v>
      </c>
      <c r="C386" t="s">
        <v>6</v>
      </c>
      <c r="D386" t="s">
        <v>7</v>
      </c>
      <c r="E386" t="s">
        <v>43</v>
      </c>
      <c r="G386" t="s">
        <v>2</v>
      </c>
      <c r="H386" t="s">
        <v>3</v>
      </c>
      <c r="I386" s="1">
        <v>0</v>
      </c>
      <c r="J386" s="1" t="s">
        <v>6</v>
      </c>
      <c r="K386" s="1" t="s">
        <v>7</v>
      </c>
      <c r="L386" s="1" t="s">
        <v>43</v>
      </c>
      <c r="M386" s="1" t="b">
        <v>0</v>
      </c>
      <c r="N386" s="1"/>
      <c r="O386">
        <v>1</v>
      </c>
      <c r="P386">
        <v>1</v>
      </c>
      <c r="Q386">
        <v>6</v>
      </c>
      <c r="R386" s="1">
        <f t="shared" si="77"/>
        <v>1</v>
      </c>
      <c r="S386" s="1">
        <f t="shared" si="78"/>
        <v>0</v>
      </c>
      <c r="T386" s="1">
        <f t="shared" si="79"/>
        <v>1</v>
      </c>
      <c r="U386" s="1">
        <f t="shared" si="80"/>
        <v>1</v>
      </c>
      <c r="V386" s="1">
        <f t="shared" si="81"/>
        <v>7</v>
      </c>
      <c r="W386" s="1" t="str">
        <f t="shared" si="82"/>
        <v>GORA</v>
      </c>
      <c r="X386" t="s">
        <v>39</v>
      </c>
      <c r="Y386" t="s">
        <v>149</v>
      </c>
      <c r="AB386">
        <v>1</v>
      </c>
      <c r="AJ386">
        <f t="shared" si="83"/>
        <v>111</v>
      </c>
      <c r="AK386">
        <f t="shared" si="84"/>
        <v>110</v>
      </c>
      <c r="AL386">
        <f t="shared" si="85"/>
        <v>7</v>
      </c>
      <c r="AM386">
        <f t="shared" si="75"/>
        <v>6</v>
      </c>
      <c r="AN386">
        <f t="shared" si="86"/>
        <v>7</v>
      </c>
      <c r="AO386">
        <f t="shared" si="87"/>
        <v>6</v>
      </c>
      <c r="AP386">
        <f t="shared" si="88"/>
        <v>0</v>
      </c>
      <c r="AQ386">
        <f t="shared" si="76"/>
        <v>0</v>
      </c>
      <c r="AR386">
        <f t="shared" si="89"/>
        <v>0</v>
      </c>
    </row>
    <row r="387" spans="1:44" x14ac:dyDescent="0.25">
      <c r="A387" t="s">
        <v>435</v>
      </c>
      <c r="B387">
        <v>0</v>
      </c>
      <c r="C387" t="s">
        <v>6</v>
      </c>
      <c r="G387" t="s">
        <v>2</v>
      </c>
      <c r="I387" s="1">
        <v>0</v>
      </c>
      <c r="J387" s="1" t="s">
        <v>6</v>
      </c>
      <c r="K387" s="1"/>
      <c r="L387" s="1"/>
      <c r="M387" s="1" t="b">
        <v>0</v>
      </c>
      <c r="N387" s="1"/>
      <c r="O387">
        <v>0</v>
      </c>
      <c r="P387">
        <v>2</v>
      </c>
      <c r="Q387">
        <v>2</v>
      </c>
      <c r="R387" s="1">
        <f t="shared" si="77"/>
        <v>0</v>
      </c>
      <c r="S387" s="1">
        <f t="shared" si="78"/>
        <v>1</v>
      </c>
      <c r="T387" s="1">
        <f t="shared" si="79"/>
        <v>1</v>
      </c>
      <c r="U387" s="1">
        <f t="shared" si="80"/>
        <v>2</v>
      </c>
      <c r="V387" s="1">
        <f t="shared" si="81"/>
        <v>1</v>
      </c>
      <c r="W387" s="1" t="str">
        <f t="shared" si="82"/>
        <v>GORA</v>
      </c>
      <c r="X387" t="s">
        <v>39</v>
      </c>
      <c r="Y387" t="s">
        <v>149</v>
      </c>
      <c r="AB387">
        <v>1</v>
      </c>
      <c r="AJ387">
        <f t="shared" si="83"/>
        <v>1</v>
      </c>
      <c r="AK387">
        <f t="shared" si="84"/>
        <v>10</v>
      </c>
      <c r="AL387">
        <f t="shared" si="85"/>
        <v>1</v>
      </c>
      <c r="AM387">
        <f t="shared" ref="AM387:AM450" si="90">INDEX($AU$3:$AU$10,MATCH(AK387,$AT$3:$AT$10,0))</f>
        <v>2</v>
      </c>
      <c r="AN387">
        <f t="shared" si="86"/>
        <v>1</v>
      </c>
      <c r="AO387">
        <f t="shared" si="87"/>
        <v>2</v>
      </c>
      <c r="AP387">
        <f t="shared" si="88"/>
        <v>0</v>
      </c>
      <c r="AQ387">
        <f t="shared" ref="AQ387:AQ450" si="91">N(AM387&lt;&gt;AO387)</f>
        <v>0</v>
      </c>
      <c r="AR387">
        <f t="shared" si="89"/>
        <v>0</v>
      </c>
    </row>
    <row r="388" spans="1:44" x14ac:dyDescent="0.25">
      <c r="A388" t="s">
        <v>436</v>
      </c>
      <c r="B388">
        <v>0</v>
      </c>
      <c r="D388" t="s">
        <v>7</v>
      </c>
      <c r="H388" t="s">
        <v>3</v>
      </c>
      <c r="I388" s="1">
        <v>0</v>
      </c>
      <c r="J388" s="1"/>
      <c r="K388" s="1" t="s">
        <v>7</v>
      </c>
      <c r="L388" s="1"/>
      <c r="M388" s="1" t="b">
        <v>0</v>
      </c>
      <c r="N388" s="1"/>
      <c r="O388">
        <v>0</v>
      </c>
      <c r="P388">
        <v>2</v>
      </c>
      <c r="Q388">
        <v>3</v>
      </c>
      <c r="R388" s="1">
        <f t="shared" ref="R388:R451" si="92">COUNTIF(B388:E388,"b4")</f>
        <v>0</v>
      </c>
      <c r="S388" s="1">
        <f t="shared" ref="S388:S451" si="93">VALUE(LEFT(A388,1))</f>
        <v>1</v>
      </c>
      <c r="T388" s="1">
        <f t="shared" ref="T388:T451" si="94">COUNTIF(B388:E388,0)</f>
        <v>1</v>
      </c>
      <c r="U388" s="1">
        <f t="shared" ref="U388:U451" si="95">S388+T388</f>
        <v>2</v>
      </c>
      <c r="V388" s="1">
        <f t="shared" ref="V388:V451" si="96">VALUE(_xlfn.TEXTBEFORE(_xlfn.TEXTAFTER(A388,"_"),"_"))</f>
        <v>2</v>
      </c>
      <c r="W388" s="1" t="str">
        <f t="shared" ref="W388:W451" si="97">_xlfn.TEXTAFTER(A388,"_",-1)</f>
        <v>GORA</v>
      </c>
      <c r="X388" t="s">
        <v>39</v>
      </c>
      <c r="Y388" t="s">
        <v>149</v>
      </c>
      <c r="AB388">
        <v>1</v>
      </c>
      <c r="AJ388">
        <f t="shared" ref="AJ388:AJ451" si="98">VALUE(IF(E388&lt;&gt;"","1","0")&amp;IF(D388&lt;&gt;"","1","0")&amp;IF(C388&lt;&gt;"","1","0"))</f>
        <v>10</v>
      </c>
      <c r="AK388">
        <f t="shared" ref="AK388:AK451" si="99">VALUE(IF(H388&lt;&gt;"","1","0")&amp;IF(G388&lt;&gt;"","1","0")&amp;IF(F388&lt;&gt;"","1","0"))</f>
        <v>100</v>
      </c>
      <c r="AL388">
        <f t="shared" ref="AL388:AL451" si="100">INDEX($AU$3:$AU$10,MATCH(AJ388,$AT$3:$AT$10,0))</f>
        <v>2</v>
      </c>
      <c r="AM388">
        <f t="shared" si="90"/>
        <v>3</v>
      </c>
      <c r="AN388">
        <f t="shared" ref="AN388:AN451" si="101">VALUE(_xlfn.TEXTBEFORE(_xlfn.TEXTAFTER(A388,"_"),"_"))</f>
        <v>2</v>
      </c>
      <c r="AO388">
        <f t="shared" ref="AO388:AO451" si="102">Q388</f>
        <v>3</v>
      </c>
      <c r="AP388">
        <f t="shared" ref="AP388:AP451" si="103">N(AL388&lt;&gt;AN388)</f>
        <v>0</v>
      </c>
      <c r="AQ388">
        <f t="shared" si="91"/>
        <v>0</v>
      </c>
      <c r="AR388">
        <f t="shared" ref="AR388:AR451" si="104">N(OR(AP388,AQ388))</f>
        <v>0</v>
      </c>
    </row>
    <row r="389" spans="1:44" x14ac:dyDescent="0.25">
      <c r="A389" t="s">
        <v>437</v>
      </c>
      <c r="B389">
        <v>0</v>
      </c>
      <c r="E389" t="s">
        <v>43</v>
      </c>
      <c r="I389" s="1">
        <v>0</v>
      </c>
      <c r="J389" s="1"/>
      <c r="K389" s="1"/>
      <c r="L389" s="1" t="s">
        <v>43</v>
      </c>
      <c r="M389" s="1" t="b">
        <v>0</v>
      </c>
      <c r="N389" s="1"/>
      <c r="O389">
        <v>1</v>
      </c>
      <c r="P389">
        <v>2</v>
      </c>
      <c r="Q389">
        <v>0</v>
      </c>
      <c r="R389" s="1">
        <f t="shared" si="92"/>
        <v>1</v>
      </c>
      <c r="S389" s="1">
        <f t="shared" si="93"/>
        <v>1</v>
      </c>
      <c r="T389" s="1">
        <f t="shared" si="94"/>
        <v>1</v>
      </c>
      <c r="U389" s="1">
        <f t="shared" si="95"/>
        <v>2</v>
      </c>
      <c r="V389" s="1">
        <f t="shared" si="96"/>
        <v>3</v>
      </c>
      <c r="W389" s="1" t="str">
        <f t="shared" si="97"/>
        <v>GORA</v>
      </c>
      <c r="X389" t="s">
        <v>39</v>
      </c>
      <c r="Y389" t="s">
        <v>149</v>
      </c>
      <c r="AB389">
        <v>1</v>
      </c>
      <c r="AJ389">
        <f t="shared" si="98"/>
        <v>100</v>
      </c>
      <c r="AK389">
        <f t="shared" si="99"/>
        <v>0</v>
      </c>
      <c r="AL389">
        <f t="shared" si="100"/>
        <v>3</v>
      </c>
      <c r="AM389">
        <f t="shared" si="90"/>
        <v>0</v>
      </c>
      <c r="AN389">
        <f t="shared" si="101"/>
        <v>3</v>
      </c>
      <c r="AO389">
        <f t="shared" si="102"/>
        <v>0</v>
      </c>
      <c r="AP389">
        <f t="shared" si="103"/>
        <v>0</v>
      </c>
      <c r="AQ389">
        <f t="shared" si="91"/>
        <v>0</v>
      </c>
      <c r="AR389">
        <f t="shared" si="104"/>
        <v>0</v>
      </c>
    </row>
    <row r="390" spans="1:44" x14ac:dyDescent="0.25">
      <c r="A390" t="s">
        <v>438</v>
      </c>
      <c r="B390">
        <v>0</v>
      </c>
      <c r="C390" t="s">
        <v>6</v>
      </c>
      <c r="D390" t="s">
        <v>7</v>
      </c>
      <c r="G390" t="s">
        <v>2</v>
      </c>
      <c r="H390" t="s">
        <v>3</v>
      </c>
      <c r="I390" s="1">
        <v>0</v>
      </c>
      <c r="J390" s="1" t="s">
        <v>6</v>
      </c>
      <c r="K390" s="1" t="s">
        <v>7</v>
      </c>
      <c r="L390" s="1"/>
      <c r="M390" s="1" t="b">
        <v>0</v>
      </c>
      <c r="N390" s="1"/>
      <c r="O390">
        <v>0</v>
      </c>
      <c r="P390">
        <v>2</v>
      </c>
      <c r="Q390">
        <v>6</v>
      </c>
      <c r="R390" s="1">
        <f t="shared" si="92"/>
        <v>0</v>
      </c>
      <c r="S390" s="1">
        <f t="shared" si="93"/>
        <v>1</v>
      </c>
      <c r="T390" s="1">
        <f t="shared" si="94"/>
        <v>1</v>
      </c>
      <c r="U390" s="1">
        <f t="shared" si="95"/>
        <v>2</v>
      </c>
      <c r="V390" s="1">
        <f t="shared" si="96"/>
        <v>4</v>
      </c>
      <c r="W390" s="1" t="str">
        <f t="shared" si="97"/>
        <v>GORA</v>
      </c>
      <c r="X390" t="s">
        <v>39</v>
      </c>
      <c r="Y390" t="s">
        <v>149</v>
      </c>
      <c r="AB390">
        <v>1</v>
      </c>
      <c r="AJ390">
        <f t="shared" si="98"/>
        <v>11</v>
      </c>
      <c r="AK390">
        <f t="shared" si="99"/>
        <v>110</v>
      </c>
      <c r="AL390">
        <f t="shared" si="100"/>
        <v>4</v>
      </c>
      <c r="AM390">
        <f t="shared" si="90"/>
        <v>6</v>
      </c>
      <c r="AN390">
        <f t="shared" si="101"/>
        <v>4</v>
      </c>
      <c r="AO390">
        <f t="shared" si="102"/>
        <v>6</v>
      </c>
      <c r="AP390">
        <f t="shared" si="103"/>
        <v>0</v>
      </c>
      <c r="AQ390">
        <f t="shared" si="91"/>
        <v>0</v>
      </c>
      <c r="AR390">
        <f t="shared" si="104"/>
        <v>0</v>
      </c>
    </row>
    <row r="391" spans="1:44" x14ac:dyDescent="0.25">
      <c r="A391" t="s">
        <v>439</v>
      </c>
      <c r="B391">
        <v>0</v>
      </c>
      <c r="C391" t="s">
        <v>6</v>
      </c>
      <c r="E391" t="s">
        <v>43</v>
      </c>
      <c r="G391" t="s">
        <v>2</v>
      </c>
      <c r="I391" s="1">
        <v>0</v>
      </c>
      <c r="J391" s="1" t="s">
        <v>6</v>
      </c>
      <c r="K391" s="1"/>
      <c r="L391" s="1" t="s">
        <v>43</v>
      </c>
      <c r="M391" s="1" t="b">
        <v>0</v>
      </c>
      <c r="N391" s="1"/>
      <c r="O391">
        <v>1</v>
      </c>
      <c r="P391">
        <v>2</v>
      </c>
      <c r="Q391">
        <v>2</v>
      </c>
      <c r="R391" s="1">
        <f t="shared" si="92"/>
        <v>1</v>
      </c>
      <c r="S391" s="1">
        <f t="shared" si="93"/>
        <v>1</v>
      </c>
      <c r="T391" s="1">
        <f t="shared" si="94"/>
        <v>1</v>
      </c>
      <c r="U391" s="1">
        <f t="shared" si="95"/>
        <v>2</v>
      </c>
      <c r="V391" s="1">
        <f t="shared" si="96"/>
        <v>5</v>
      </c>
      <c r="W391" s="1" t="str">
        <f t="shared" si="97"/>
        <v>GORA</v>
      </c>
      <c r="X391" t="s">
        <v>39</v>
      </c>
      <c r="Y391" t="s">
        <v>149</v>
      </c>
      <c r="AB391">
        <v>1</v>
      </c>
      <c r="AJ391">
        <f t="shared" si="98"/>
        <v>101</v>
      </c>
      <c r="AK391">
        <f t="shared" si="99"/>
        <v>10</v>
      </c>
      <c r="AL391">
        <f t="shared" si="100"/>
        <v>5</v>
      </c>
      <c r="AM391">
        <f t="shared" si="90"/>
        <v>2</v>
      </c>
      <c r="AN391">
        <f t="shared" si="101"/>
        <v>5</v>
      </c>
      <c r="AO391">
        <f t="shared" si="102"/>
        <v>2</v>
      </c>
      <c r="AP391">
        <f t="shared" si="103"/>
        <v>0</v>
      </c>
      <c r="AQ391">
        <f t="shared" si="91"/>
        <v>0</v>
      </c>
      <c r="AR391">
        <f t="shared" si="104"/>
        <v>0</v>
      </c>
    </row>
    <row r="392" spans="1:44" x14ac:dyDescent="0.25">
      <c r="A392" t="s">
        <v>440</v>
      </c>
      <c r="B392">
        <v>0</v>
      </c>
      <c r="D392" t="s">
        <v>7</v>
      </c>
      <c r="E392" t="s">
        <v>43</v>
      </c>
      <c r="H392" t="s">
        <v>3</v>
      </c>
      <c r="I392" s="1">
        <v>0</v>
      </c>
      <c r="J392" s="1"/>
      <c r="K392" s="1" t="s">
        <v>7</v>
      </c>
      <c r="L392" s="1" t="s">
        <v>43</v>
      </c>
      <c r="M392" s="1" t="b">
        <v>0</v>
      </c>
      <c r="N392" s="1"/>
      <c r="O392">
        <v>1</v>
      </c>
      <c r="P392">
        <v>2</v>
      </c>
      <c r="Q392">
        <v>3</v>
      </c>
      <c r="R392" s="1">
        <f t="shared" si="92"/>
        <v>1</v>
      </c>
      <c r="S392" s="1">
        <f t="shared" si="93"/>
        <v>1</v>
      </c>
      <c r="T392" s="1">
        <f t="shared" si="94"/>
        <v>1</v>
      </c>
      <c r="U392" s="1">
        <f t="shared" si="95"/>
        <v>2</v>
      </c>
      <c r="V392" s="1">
        <f t="shared" si="96"/>
        <v>6</v>
      </c>
      <c r="W392" s="1" t="str">
        <f t="shared" si="97"/>
        <v>GORA</v>
      </c>
      <c r="X392" t="s">
        <v>39</v>
      </c>
      <c r="Y392" t="s">
        <v>149</v>
      </c>
      <c r="AB392">
        <v>1</v>
      </c>
      <c r="AJ392">
        <f t="shared" si="98"/>
        <v>110</v>
      </c>
      <c r="AK392">
        <f t="shared" si="99"/>
        <v>100</v>
      </c>
      <c r="AL392">
        <f t="shared" si="100"/>
        <v>6</v>
      </c>
      <c r="AM392">
        <f t="shared" si="90"/>
        <v>3</v>
      </c>
      <c r="AN392">
        <f t="shared" si="101"/>
        <v>6</v>
      </c>
      <c r="AO392">
        <f t="shared" si="102"/>
        <v>3</v>
      </c>
      <c r="AP392">
        <f t="shared" si="103"/>
        <v>0</v>
      </c>
      <c r="AQ392">
        <f t="shared" si="91"/>
        <v>0</v>
      </c>
      <c r="AR392">
        <f t="shared" si="104"/>
        <v>0</v>
      </c>
    </row>
    <row r="393" spans="1:44" x14ac:dyDescent="0.25">
      <c r="A393" t="s">
        <v>441</v>
      </c>
      <c r="B393">
        <v>0</v>
      </c>
      <c r="C393" t="s">
        <v>6</v>
      </c>
      <c r="D393" t="s">
        <v>7</v>
      </c>
      <c r="E393" t="s">
        <v>43</v>
      </c>
      <c r="G393" t="s">
        <v>2</v>
      </c>
      <c r="H393" t="s">
        <v>3</v>
      </c>
      <c r="I393" s="1">
        <v>0</v>
      </c>
      <c r="J393" s="1" t="s">
        <v>6</v>
      </c>
      <c r="K393" s="1" t="s">
        <v>7</v>
      </c>
      <c r="L393" s="1" t="s">
        <v>43</v>
      </c>
      <c r="M393" s="1" t="b">
        <v>0</v>
      </c>
      <c r="N393" s="1"/>
      <c r="O393">
        <v>1</v>
      </c>
      <c r="P393">
        <v>2</v>
      </c>
      <c r="Q393">
        <v>6</v>
      </c>
      <c r="R393" s="1">
        <f t="shared" si="92"/>
        <v>1</v>
      </c>
      <c r="S393" s="1">
        <f t="shared" si="93"/>
        <v>1</v>
      </c>
      <c r="T393" s="1">
        <f t="shared" si="94"/>
        <v>1</v>
      </c>
      <c r="U393" s="1">
        <f t="shared" si="95"/>
        <v>2</v>
      </c>
      <c r="V393" s="1">
        <f t="shared" si="96"/>
        <v>7</v>
      </c>
      <c r="W393" s="1" t="str">
        <f t="shared" si="97"/>
        <v>GORA</v>
      </c>
      <c r="X393" t="s">
        <v>39</v>
      </c>
      <c r="Y393" t="s">
        <v>149</v>
      </c>
      <c r="AB393">
        <v>1</v>
      </c>
      <c r="AJ393">
        <f t="shared" si="98"/>
        <v>111</v>
      </c>
      <c r="AK393">
        <f t="shared" si="99"/>
        <v>110</v>
      </c>
      <c r="AL393">
        <f t="shared" si="100"/>
        <v>7</v>
      </c>
      <c r="AM393">
        <f t="shared" si="90"/>
        <v>6</v>
      </c>
      <c r="AN393">
        <f t="shared" si="101"/>
        <v>7</v>
      </c>
      <c r="AO393">
        <f t="shared" si="102"/>
        <v>6</v>
      </c>
      <c r="AP393">
        <f t="shared" si="103"/>
        <v>0</v>
      </c>
      <c r="AQ393">
        <f t="shared" si="91"/>
        <v>0</v>
      </c>
      <c r="AR393">
        <f t="shared" si="104"/>
        <v>0</v>
      </c>
    </row>
    <row r="394" spans="1:44" x14ac:dyDescent="0.25">
      <c r="A394" t="s">
        <v>442</v>
      </c>
      <c r="B394" t="s">
        <v>43</v>
      </c>
      <c r="I394" s="1" t="s">
        <v>43</v>
      </c>
      <c r="J394" s="1"/>
      <c r="K394" s="1"/>
      <c r="L394" s="1"/>
      <c r="M394" s="1" t="b">
        <v>0</v>
      </c>
      <c r="N394" s="1"/>
      <c r="O394">
        <v>1</v>
      </c>
      <c r="P394">
        <v>0</v>
      </c>
      <c r="Q394">
        <v>0</v>
      </c>
      <c r="R394" s="1">
        <f t="shared" si="92"/>
        <v>1</v>
      </c>
      <c r="S394" s="1">
        <f t="shared" si="93"/>
        <v>0</v>
      </c>
      <c r="T394" s="1">
        <f t="shared" si="94"/>
        <v>0</v>
      </c>
      <c r="U394" s="1">
        <f t="shared" si="95"/>
        <v>0</v>
      </c>
      <c r="V394" s="1">
        <f t="shared" si="96"/>
        <v>0</v>
      </c>
      <c r="W394" s="1" t="str">
        <f t="shared" si="97"/>
        <v>HR</v>
      </c>
      <c r="X394" t="s">
        <v>39</v>
      </c>
      <c r="Y394" t="s">
        <v>39</v>
      </c>
      <c r="AJ394">
        <f t="shared" si="98"/>
        <v>0</v>
      </c>
      <c r="AK394">
        <f t="shared" si="99"/>
        <v>0</v>
      </c>
      <c r="AL394">
        <f t="shared" si="100"/>
        <v>0</v>
      </c>
      <c r="AM394">
        <f t="shared" si="90"/>
        <v>0</v>
      </c>
      <c r="AN394">
        <f t="shared" si="101"/>
        <v>0</v>
      </c>
      <c r="AO394">
        <f t="shared" si="102"/>
        <v>0</v>
      </c>
      <c r="AP394">
        <f t="shared" si="103"/>
        <v>0</v>
      </c>
      <c r="AQ394">
        <f t="shared" si="91"/>
        <v>0</v>
      </c>
      <c r="AR394">
        <f t="shared" si="104"/>
        <v>0</v>
      </c>
    </row>
    <row r="395" spans="1:44" x14ac:dyDescent="0.25">
      <c r="A395" t="s">
        <v>443</v>
      </c>
      <c r="B395" t="s">
        <v>43</v>
      </c>
      <c r="C395" t="s">
        <v>43</v>
      </c>
      <c r="I395" s="1" t="s">
        <v>43</v>
      </c>
      <c r="J395" s="1" t="s">
        <v>43</v>
      </c>
      <c r="K395" s="1"/>
      <c r="L395" s="1"/>
      <c r="M395" s="1" t="b">
        <v>0</v>
      </c>
      <c r="N395" s="1"/>
      <c r="O395">
        <v>2</v>
      </c>
      <c r="P395">
        <v>0</v>
      </c>
      <c r="Q395">
        <v>0</v>
      </c>
      <c r="R395" s="1">
        <f t="shared" si="92"/>
        <v>2</v>
      </c>
      <c r="S395" s="1">
        <f t="shared" si="93"/>
        <v>0</v>
      </c>
      <c r="T395" s="1">
        <f t="shared" si="94"/>
        <v>0</v>
      </c>
      <c r="U395" s="1">
        <f t="shared" si="95"/>
        <v>0</v>
      </c>
      <c r="V395" s="1">
        <f t="shared" si="96"/>
        <v>1</v>
      </c>
      <c r="W395" s="1" t="str">
        <f t="shared" si="97"/>
        <v>HR</v>
      </c>
      <c r="X395" t="s">
        <v>39</v>
      </c>
      <c r="Y395" t="s">
        <v>39</v>
      </c>
      <c r="AJ395">
        <f t="shared" si="98"/>
        <v>1</v>
      </c>
      <c r="AK395">
        <f t="shared" si="99"/>
        <v>0</v>
      </c>
      <c r="AL395">
        <f t="shared" si="100"/>
        <v>1</v>
      </c>
      <c r="AM395">
        <f t="shared" si="90"/>
        <v>0</v>
      </c>
      <c r="AN395">
        <f t="shared" si="101"/>
        <v>1</v>
      </c>
      <c r="AO395">
        <f t="shared" si="102"/>
        <v>0</v>
      </c>
      <c r="AP395">
        <f t="shared" si="103"/>
        <v>0</v>
      </c>
      <c r="AQ395">
        <f t="shared" si="91"/>
        <v>0</v>
      </c>
      <c r="AR395">
        <f t="shared" si="104"/>
        <v>0</v>
      </c>
    </row>
    <row r="396" spans="1:44" x14ac:dyDescent="0.25">
      <c r="A396" t="s">
        <v>444</v>
      </c>
      <c r="B396" t="s">
        <v>43</v>
      </c>
      <c r="D396" t="s">
        <v>43</v>
      </c>
      <c r="I396" s="1" t="s">
        <v>43</v>
      </c>
      <c r="J396" s="1"/>
      <c r="K396" s="1" t="s">
        <v>43</v>
      </c>
      <c r="L396" s="1"/>
      <c r="M396" s="1" t="b">
        <v>0</v>
      </c>
      <c r="N396" s="1"/>
      <c r="O396">
        <v>2</v>
      </c>
      <c r="P396">
        <v>0</v>
      </c>
      <c r="Q396">
        <v>0</v>
      </c>
      <c r="R396" s="1">
        <f t="shared" si="92"/>
        <v>2</v>
      </c>
      <c r="S396" s="1">
        <f t="shared" si="93"/>
        <v>0</v>
      </c>
      <c r="T396" s="1">
        <f t="shared" si="94"/>
        <v>0</v>
      </c>
      <c r="U396" s="1">
        <f t="shared" si="95"/>
        <v>0</v>
      </c>
      <c r="V396" s="1">
        <f t="shared" si="96"/>
        <v>2</v>
      </c>
      <c r="W396" s="1" t="str">
        <f t="shared" si="97"/>
        <v>HR</v>
      </c>
      <c r="X396" t="s">
        <v>39</v>
      </c>
      <c r="Y396" t="s">
        <v>39</v>
      </c>
      <c r="AJ396">
        <f t="shared" si="98"/>
        <v>10</v>
      </c>
      <c r="AK396">
        <f t="shared" si="99"/>
        <v>0</v>
      </c>
      <c r="AL396">
        <f t="shared" si="100"/>
        <v>2</v>
      </c>
      <c r="AM396">
        <f t="shared" si="90"/>
        <v>0</v>
      </c>
      <c r="AN396">
        <f t="shared" si="101"/>
        <v>2</v>
      </c>
      <c r="AO396">
        <f t="shared" si="102"/>
        <v>0</v>
      </c>
      <c r="AP396">
        <f t="shared" si="103"/>
        <v>0</v>
      </c>
      <c r="AQ396">
        <f t="shared" si="91"/>
        <v>0</v>
      </c>
      <c r="AR396">
        <f t="shared" si="104"/>
        <v>0</v>
      </c>
    </row>
    <row r="397" spans="1:44" x14ac:dyDescent="0.25">
      <c r="A397" t="s">
        <v>445</v>
      </c>
      <c r="B397" t="s">
        <v>43</v>
      </c>
      <c r="E397" t="s">
        <v>43</v>
      </c>
      <c r="I397" s="1" t="s">
        <v>43</v>
      </c>
      <c r="J397" s="1"/>
      <c r="K397" s="1"/>
      <c r="L397" s="1" t="s">
        <v>43</v>
      </c>
      <c r="M397" s="1" t="b">
        <v>0</v>
      </c>
      <c r="N397" s="1"/>
      <c r="O397">
        <v>2</v>
      </c>
      <c r="P397">
        <v>0</v>
      </c>
      <c r="Q397">
        <v>0</v>
      </c>
      <c r="R397" s="1">
        <f t="shared" si="92"/>
        <v>2</v>
      </c>
      <c r="S397" s="1">
        <f t="shared" si="93"/>
        <v>0</v>
      </c>
      <c r="T397" s="1">
        <f t="shared" si="94"/>
        <v>0</v>
      </c>
      <c r="U397" s="1">
        <f t="shared" si="95"/>
        <v>0</v>
      </c>
      <c r="V397" s="1">
        <f t="shared" si="96"/>
        <v>3</v>
      </c>
      <c r="W397" s="1" t="str">
        <f t="shared" si="97"/>
        <v>HR</v>
      </c>
      <c r="X397" t="s">
        <v>39</v>
      </c>
      <c r="Y397" t="s">
        <v>39</v>
      </c>
      <c r="AJ397">
        <f t="shared" si="98"/>
        <v>100</v>
      </c>
      <c r="AK397">
        <f t="shared" si="99"/>
        <v>0</v>
      </c>
      <c r="AL397">
        <f t="shared" si="100"/>
        <v>3</v>
      </c>
      <c r="AM397">
        <f t="shared" si="90"/>
        <v>0</v>
      </c>
      <c r="AN397">
        <f t="shared" si="101"/>
        <v>3</v>
      </c>
      <c r="AO397">
        <f t="shared" si="102"/>
        <v>0</v>
      </c>
      <c r="AP397">
        <f t="shared" si="103"/>
        <v>0</v>
      </c>
      <c r="AQ397">
        <f t="shared" si="91"/>
        <v>0</v>
      </c>
      <c r="AR397">
        <f t="shared" si="104"/>
        <v>0</v>
      </c>
    </row>
    <row r="398" spans="1:44" x14ac:dyDescent="0.25">
      <c r="A398" t="s">
        <v>446</v>
      </c>
      <c r="B398" t="s">
        <v>43</v>
      </c>
      <c r="C398" t="s">
        <v>43</v>
      </c>
      <c r="D398" t="s">
        <v>43</v>
      </c>
      <c r="I398" s="1" t="s">
        <v>43</v>
      </c>
      <c r="J398" s="1" t="s">
        <v>43</v>
      </c>
      <c r="K398" s="1" t="s">
        <v>43</v>
      </c>
      <c r="L398" s="1"/>
      <c r="M398" s="1" t="b">
        <v>0</v>
      </c>
      <c r="N398" s="1"/>
      <c r="O398">
        <v>3</v>
      </c>
      <c r="P398">
        <v>0</v>
      </c>
      <c r="Q398">
        <v>0</v>
      </c>
      <c r="R398" s="1">
        <f t="shared" si="92"/>
        <v>3</v>
      </c>
      <c r="S398" s="1">
        <f t="shared" si="93"/>
        <v>0</v>
      </c>
      <c r="T398" s="1">
        <f t="shared" si="94"/>
        <v>0</v>
      </c>
      <c r="U398" s="1">
        <f t="shared" si="95"/>
        <v>0</v>
      </c>
      <c r="V398" s="1">
        <f t="shared" si="96"/>
        <v>4</v>
      </c>
      <c r="W398" s="1" t="str">
        <f t="shared" si="97"/>
        <v>HR</v>
      </c>
      <c r="X398" t="s">
        <v>39</v>
      </c>
      <c r="Y398" t="s">
        <v>39</v>
      </c>
      <c r="AJ398">
        <f t="shared" si="98"/>
        <v>11</v>
      </c>
      <c r="AK398">
        <f t="shared" si="99"/>
        <v>0</v>
      </c>
      <c r="AL398">
        <f t="shared" si="100"/>
        <v>4</v>
      </c>
      <c r="AM398">
        <f t="shared" si="90"/>
        <v>0</v>
      </c>
      <c r="AN398">
        <f t="shared" si="101"/>
        <v>4</v>
      </c>
      <c r="AO398">
        <f t="shared" si="102"/>
        <v>0</v>
      </c>
      <c r="AP398">
        <f t="shared" si="103"/>
        <v>0</v>
      </c>
      <c r="AQ398">
        <f t="shared" si="91"/>
        <v>0</v>
      </c>
      <c r="AR398">
        <f t="shared" si="104"/>
        <v>0</v>
      </c>
    </row>
    <row r="399" spans="1:44" x14ac:dyDescent="0.25">
      <c r="A399" t="s">
        <v>447</v>
      </c>
      <c r="B399" t="s">
        <v>43</v>
      </c>
      <c r="C399" t="s">
        <v>43</v>
      </c>
      <c r="E399" t="s">
        <v>43</v>
      </c>
      <c r="I399" s="1" t="s">
        <v>43</v>
      </c>
      <c r="J399" s="1" t="s">
        <v>43</v>
      </c>
      <c r="K399" s="1"/>
      <c r="L399" s="1" t="s">
        <v>43</v>
      </c>
      <c r="M399" s="1" t="b">
        <v>0</v>
      </c>
      <c r="N399" s="1"/>
      <c r="O399">
        <v>3</v>
      </c>
      <c r="P399">
        <v>0</v>
      </c>
      <c r="Q399">
        <v>0</v>
      </c>
      <c r="R399" s="1">
        <f t="shared" si="92"/>
        <v>3</v>
      </c>
      <c r="S399" s="1">
        <f t="shared" si="93"/>
        <v>0</v>
      </c>
      <c r="T399" s="1">
        <f t="shared" si="94"/>
        <v>0</v>
      </c>
      <c r="U399" s="1">
        <f t="shared" si="95"/>
        <v>0</v>
      </c>
      <c r="V399" s="1">
        <f t="shared" si="96"/>
        <v>5</v>
      </c>
      <c r="W399" s="1" t="str">
        <f t="shared" si="97"/>
        <v>HR</v>
      </c>
      <c r="X399" t="s">
        <v>39</v>
      </c>
      <c r="Y399" t="s">
        <v>39</v>
      </c>
      <c r="AJ399">
        <f t="shared" si="98"/>
        <v>101</v>
      </c>
      <c r="AK399">
        <f t="shared" si="99"/>
        <v>0</v>
      </c>
      <c r="AL399">
        <f t="shared" si="100"/>
        <v>5</v>
      </c>
      <c r="AM399">
        <f t="shared" si="90"/>
        <v>0</v>
      </c>
      <c r="AN399">
        <f t="shared" si="101"/>
        <v>5</v>
      </c>
      <c r="AO399">
        <f t="shared" si="102"/>
        <v>0</v>
      </c>
      <c r="AP399">
        <f t="shared" si="103"/>
        <v>0</v>
      </c>
      <c r="AQ399">
        <f t="shared" si="91"/>
        <v>0</v>
      </c>
      <c r="AR399">
        <f t="shared" si="104"/>
        <v>0</v>
      </c>
    </row>
    <row r="400" spans="1:44" x14ac:dyDescent="0.25">
      <c r="A400" t="s">
        <v>448</v>
      </c>
      <c r="B400" t="s">
        <v>43</v>
      </c>
      <c r="D400" t="s">
        <v>43</v>
      </c>
      <c r="E400" t="s">
        <v>43</v>
      </c>
      <c r="I400" s="1" t="s">
        <v>43</v>
      </c>
      <c r="J400" s="1"/>
      <c r="K400" s="1" t="s">
        <v>43</v>
      </c>
      <c r="L400" s="1" t="s">
        <v>43</v>
      </c>
      <c r="M400" s="1" t="b">
        <v>0</v>
      </c>
      <c r="N400" s="1"/>
      <c r="O400">
        <v>3</v>
      </c>
      <c r="P400">
        <v>0</v>
      </c>
      <c r="Q400">
        <v>0</v>
      </c>
      <c r="R400" s="1">
        <f t="shared" si="92"/>
        <v>3</v>
      </c>
      <c r="S400" s="1">
        <f t="shared" si="93"/>
        <v>0</v>
      </c>
      <c r="T400" s="1">
        <f t="shared" si="94"/>
        <v>0</v>
      </c>
      <c r="U400" s="1">
        <f t="shared" si="95"/>
        <v>0</v>
      </c>
      <c r="V400" s="1">
        <f t="shared" si="96"/>
        <v>6</v>
      </c>
      <c r="W400" s="1" t="str">
        <f t="shared" si="97"/>
        <v>HR</v>
      </c>
      <c r="X400" t="s">
        <v>39</v>
      </c>
      <c r="Y400" t="s">
        <v>39</v>
      </c>
      <c r="AJ400">
        <f t="shared" si="98"/>
        <v>110</v>
      </c>
      <c r="AK400">
        <f t="shared" si="99"/>
        <v>0</v>
      </c>
      <c r="AL400">
        <f t="shared" si="100"/>
        <v>6</v>
      </c>
      <c r="AM400">
        <f t="shared" si="90"/>
        <v>0</v>
      </c>
      <c r="AN400">
        <f t="shared" si="101"/>
        <v>6</v>
      </c>
      <c r="AO400">
        <f t="shared" si="102"/>
        <v>0</v>
      </c>
      <c r="AP400">
        <f t="shared" si="103"/>
        <v>0</v>
      </c>
      <c r="AQ400">
        <f t="shared" si="91"/>
        <v>0</v>
      </c>
      <c r="AR400">
        <f t="shared" si="104"/>
        <v>0</v>
      </c>
    </row>
    <row r="401" spans="1:44" x14ac:dyDescent="0.25">
      <c r="A401" t="s">
        <v>449</v>
      </c>
      <c r="B401" t="s">
        <v>43</v>
      </c>
      <c r="C401" t="s">
        <v>43</v>
      </c>
      <c r="D401" t="s">
        <v>43</v>
      </c>
      <c r="E401" t="s">
        <v>43</v>
      </c>
      <c r="I401" s="1" t="s">
        <v>43</v>
      </c>
      <c r="J401" s="1" t="s">
        <v>43</v>
      </c>
      <c r="K401" s="1" t="s">
        <v>43</v>
      </c>
      <c r="L401" s="1" t="s">
        <v>43</v>
      </c>
      <c r="M401" s="1" t="b">
        <v>0</v>
      </c>
      <c r="N401" s="1"/>
      <c r="O401">
        <v>4</v>
      </c>
      <c r="P401">
        <v>0</v>
      </c>
      <c r="Q401">
        <v>0</v>
      </c>
      <c r="R401" s="1">
        <f t="shared" si="92"/>
        <v>4</v>
      </c>
      <c r="S401" s="1">
        <f t="shared" si="93"/>
        <v>0</v>
      </c>
      <c r="T401" s="1">
        <f t="shared" si="94"/>
        <v>0</v>
      </c>
      <c r="U401" s="1">
        <f t="shared" si="95"/>
        <v>0</v>
      </c>
      <c r="V401" s="1">
        <f t="shared" si="96"/>
        <v>7</v>
      </c>
      <c r="W401" s="1" t="str">
        <f t="shared" si="97"/>
        <v>HR</v>
      </c>
      <c r="X401" t="s">
        <v>39</v>
      </c>
      <c r="Y401" t="s">
        <v>39</v>
      </c>
      <c r="AJ401">
        <f t="shared" si="98"/>
        <v>111</v>
      </c>
      <c r="AK401">
        <f t="shared" si="99"/>
        <v>0</v>
      </c>
      <c r="AL401">
        <f t="shared" si="100"/>
        <v>7</v>
      </c>
      <c r="AM401">
        <f t="shared" si="90"/>
        <v>0</v>
      </c>
      <c r="AN401">
        <f t="shared" si="101"/>
        <v>7</v>
      </c>
      <c r="AO401">
        <f t="shared" si="102"/>
        <v>0</v>
      </c>
      <c r="AP401">
        <f t="shared" si="103"/>
        <v>0</v>
      </c>
      <c r="AQ401">
        <f t="shared" si="91"/>
        <v>0</v>
      </c>
      <c r="AR401">
        <f t="shared" si="104"/>
        <v>0</v>
      </c>
    </row>
    <row r="402" spans="1:44" x14ac:dyDescent="0.25">
      <c r="A402" t="s">
        <v>450</v>
      </c>
      <c r="B402" t="s">
        <v>43</v>
      </c>
      <c r="I402" s="1" t="s">
        <v>43</v>
      </c>
      <c r="J402" s="1"/>
      <c r="K402" s="1"/>
      <c r="L402" s="1"/>
      <c r="M402" s="1" t="b">
        <v>0</v>
      </c>
      <c r="N402" s="1"/>
      <c r="O402">
        <v>1</v>
      </c>
      <c r="P402">
        <v>1</v>
      </c>
      <c r="Q402">
        <v>0</v>
      </c>
      <c r="R402" s="1">
        <f t="shared" si="92"/>
        <v>1</v>
      </c>
      <c r="S402" s="1">
        <f t="shared" si="93"/>
        <v>1</v>
      </c>
      <c r="T402" s="1">
        <f t="shared" si="94"/>
        <v>0</v>
      </c>
      <c r="U402" s="1">
        <f t="shared" si="95"/>
        <v>1</v>
      </c>
      <c r="V402" s="1">
        <f t="shared" si="96"/>
        <v>0</v>
      </c>
      <c r="W402" s="1" t="str">
        <f t="shared" si="97"/>
        <v>HR</v>
      </c>
      <c r="X402" t="s">
        <v>39</v>
      </c>
      <c r="Y402" t="s">
        <v>39</v>
      </c>
      <c r="AJ402">
        <f t="shared" si="98"/>
        <v>0</v>
      </c>
      <c r="AK402">
        <f t="shared" si="99"/>
        <v>0</v>
      </c>
      <c r="AL402">
        <f t="shared" si="100"/>
        <v>0</v>
      </c>
      <c r="AM402">
        <f t="shared" si="90"/>
        <v>0</v>
      </c>
      <c r="AN402">
        <f t="shared" si="101"/>
        <v>0</v>
      </c>
      <c r="AO402">
        <f t="shared" si="102"/>
        <v>0</v>
      </c>
      <c r="AP402">
        <f t="shared" si="103"/>
        <v>0</v>
      </c>
      <c r="AQ402">
        <f t="shared" si="91"/>
        <v>0</v>
      </c>
      <c r="AR402">
        <f t="shared" si="104"/>
        <v>0</v>
      </c>
    </row>
    <row r="403" spans="1:44" x14ac:dyDescent="0.25">
      <c r="A403" t="s">
        <v>451</v>
      </c>
      <c r="B403" t="s">
        <v>43</v>
      </c>
      <c r="C403" t="s">
        <v>43</v>
      </c>
      <c r="I403" s="1" t="s">
        <v>43</v>
      </c>
      <c r="J403" s="1" t="s">
        <v>43</v>
      </c>
      <c r="K403" s="1"/>
      <c r="L403" s="1"/>
      <c r="M403" s="1" t="b">
        <v>0</v>
      </c>
      <c r="N403" s="1"/>
      <c r="O403">
        <v>2</v>
      </c>
      <c r="P403">
        <v>1</v>
      </c>
      <c r="Q403">
        <v>0</v>
      </c>
      <c r="R403" s="1">
        <f t="shared" si="92"/>
        <v>2</v>
      </c>
      <c r="S403" s="1">
        <f t="shared" si="93"/>
        <v>1</v>
      </c>
      <c r="T403" s="1">
        <f t="shared" si="94"/>
        <v>0</v>
      </c>
      <c r="U403" s="1">
        <f t="shared" si="95"/>
        <v>1</v>
      </c>
      <c r="V403" s="1">
        <f t="shared" si="96"/>
        <v>1</v>
      </c>
      <c r="W403" s="1" t="str">
        <f t="shared" si="97"/>
        <v>HR</v>
      </c>
      <c r="X403" t="s">
        <v>39</v>
      </c>
      <c r="Y403" t="s">
        <v>39</v>
      </c>
      <c r="AJ403">
        <f t="shared" si="98"/>
        <v>1</v>
      </c>
      <c r="AK403">
        <f t="shared" si="99"/>
        <v>0</v>
      </c>
      <c r="AL403">
        <f t="shared" si="100"/>
        <v>1</v>
      </c>
      <c r="AM403">
        <f t="shared" si="90"/>
        <v>0</v>
      </c>
      <c r="AN403">
        <f t="shared" si="101"/>
        <v>1</v>
      </c>
      <c r="AO403">
        <f t="shared" si="102"/>
        <v>0</v>
      </c>
      <c r="AP403">
        <f t="shared" si="103"/>
        <v>0</v>
      </c>
      <c r="AQ403">
        <f t="shared" si="91"/>
        <v>0</v>
      </c>
      <c r="AR403">
        <f t="shared" si="104"/>
        <v>0</v>
      </c>
    </row>
    <row r="404" spans="1:44" x14ac:dyDescent="0.25">
      <c r="A404" t="s">
        <v>452</v>
      </c>
      <c r="B404" t="s">
        <v>43</v>
      </c>
      <c r="D404" t="s">
        <v>43</v>
      </c>
      <c r="I404" s="1" t="s">
        <v>43</v>
      </c>
      <c r="J404" s="1"/>
      <c r="K404" s="1" t="s">
        <v>43</v>
      </c>
      <c r="L404" s="1"/>
      <c r="M404" s="1" t="b">
        <v>0</v>
      </c>
      <c r="N404" s="1"/>
      <c r="O404">
        <v>2</v>
      </c>
      <c r="P404">
        <v>1</v>
      </c>
      <c r="Q404">
        <v>0</v>
      </c>
      <c r="R404" s="1">
        <f t="shared" si="92"/>
        <v>2</v>
      </c>
      <c r="S404" s="1">
        <f t="shared" si="93"/>
        <v>1</v>
      </c>
      <c r="T404" s="1">
        <f t="shared" si="94"/>
        <v>0</v>
      </c>
      <c r="U404" s="1">
        <f t="shared" si="95"/>
        <v>1</v>
      </c>
      <c r="V404" s="1">
        <f t="shared" si="96"/>
        <v>2</v>
      </c>
      <c r="W404" s="1" t="str">
        <f t="shared" si="97"/>
        <v>HR</v>
      </c>
      <c r="X404" t="s">
        <v>39</v>
      </c>
      <c r="Y404" t="s">
        <v>39</v>
      </c>
      <c r="AJ404">
        <f t="shared" si="98"/>
        <v>10</v>
      </c>
      <c r="AK404">
        <f t="shared" si="99"/>
        <v>0</v>
      </c>
      <c r="AL404">
        <f t="shared" si="100"/>
        <v>2</v>
      </c>
      <c r="AM404">
        <f t="shared" si="90"/>
        <v>0</v>
      </c>
      <c r="AN404">
        <f t="shared" si="101"/>
        <v>2</v>
      </c>
      <c r="AO404">
        <f t="shared" si="102"/>
        <v>0</v>
      </c>
      <c r="AP404">
        <f t="shared" si="103"/>
        <v>0</v>
      </c>
      <c r="AQ404">
        <f t="shared" si="91"/>
        <v>0</v>
      </c>
      <c r="AR404">
        <f t="shared" si="104"/>
        <v>0</v>
      </c>
    </row>
    <row r="405" spans="1:44" x14ac:dyDescent="0.25">
      <c r="A405" t="s">
        <v>453</v>
      </c>
      <c r="B405" t="s">
        <v>43</v>
      </c>
      <c r="E405" t="s">
        <v>43</v>
      </c>
      <c r="I405" s="1" t="s">
        <v>43</v>
      </c>
      <c r="J405" s="1"/>
      <c r="K405" s="1"/>
      <c r="L405" s="1" t="s">
        <v>43</v>
      </c>
      <c r="M405" s="1" t="b">
        <v>0</v>
      </c>
      <c r="N405" s="1"/>
      <c r="O405">
        <v>2</v>
      </c>
      <c r="P405">
        <v>1</v>
      </c>
      <c r="Q405">
        <v>0</v>
      </c>
      <c r="R405" s="1">
        <f t="shared" si="92"/>
        <v>2</v>
      </c>
      <c r="S405" s="1">
        <f t="shared" si="93"/>
        <v>1</v>
      </c>
      <c r="T405" s="1">
        <f t="shared" si="94"/>
        <v>0</v>
      </c>
      <c r="U405" s="1">
        <f t="shared" si="95"/>
        <v>1</v>
      </c>
      <c r="V405" s="1">
        <f t="shared" si="96"/>
        <v>3</v>
      </c>
      <c r="W405" s="1" t="str">
        <f t="shared" si="97"/>
        <v>HR</v>
      </c>
      <c r="X405" t="s">
        <v>39</v>
      </c>
      <c r="Y405" t="s">
        <v>39</v>
      </c>
      <c r="AJ405">
        <f t="shared" si="98"/>
        <v>100</v>
      </c>
      <c r="AK405">
        <f t="shared" si="99"/>
        <v>0</v>
      </c>
      <c r="AL405">
        <f t="shared" si="100"/>
        <v>3</v>
      </c>
      <c r="AM405">
        <f t="shared" si="90"/>
        <v>0</v>
      </c>
      <c r="AN405">
        <f t="shared" si="101"/>
        <v>3</v>
      </c>
      <c r="AO405">
        <f t="shared" si="102"/>
        <v>0</v>
      </c>
      <c r="AP405">
        <f t="shared" si="103"/>
        <v>0</v>
      </c>
      <c r="AQ405">
        <f t="shared" si="91"/>
        <v>0</v>
      </c>
      <c r="AR405">
        <f t="shared" si="104"/>
        <v>0</v>
      </c>
    </row>
    <row r="406" spans="1:44" x14ac:dyDescent="0.25">
      <c r="A406" t="s">
        <v>454</v>
      </c>
      <c r="B406" t="s">
        <v>43</v>
      </c>
      <c r="C406" t="s">
        <v>43</v>
      </c>
      <c r="D406" t="s">
        <v>43</v>
      </c>
      <c r="I406" s="1" t="s">
        <v>43</v>
      </c>
      <c r="J406" s="1" t="s">
        <v>43</v>
      </c>
      <c r="K406" s="1" t="s">
        <v>43</v>
      </c>
      <c r="L406" s="1"/>
      <c r="M406" s="1" t="b">
        <v>0</v>
      </c>
      <c r="N406" s="1"/>
      <c r="O406">
        <v>3</v>
      </c>
      <c r="P406">
        <v>1</v>
      </c>
      <c r="Q406">
        <v>0</v>
      </c>
      <c r="R406" s="1">
        <f t="shared" si="92"/>
        <v>3</v>
      </c>
      <c r="S406" s="1">
        <f t="shared" si="93"/>
        <v>1</v>
      </c>
      <c r="T406" s="1">
        <f t="shared" si="94"/>
        <v>0</v>
      </c>
      <c r="U406" s="1">
        <f t="shared" si="95"/>
        <v>1</v>
      </c>
      <c r="V406" s="1">
        <f t="shared" si="96"/>
        <v>4</v>
      </c>
      <c r="W406" s="1" t="str">
        <f t="shared" si="97"/>
        <v>HR</v>
      </c>
      <c r="X406" t="s">
        <v>39</v>
      </c>
      <c r="Y406" t="s">
        <v>39</v>
      </c>
      <c r="AJ406">
        <f t="shared" si="98"/>
        <v>11</v>
      </c>
      <c r="AK406">
        <f t="shared" si="99"/>
        <v>0</v>
      </c>
      <c r="AL406">
        <f t="shared" si="100"/>
        <v>4</v>
      </c>
      <c r="AM406">
        <f t="shared" si="90"/>
        <v>0</v>
      </c>
      <c r="AN406">
        <f t="shared" si="101"/>
        <v>4</v>
      </c>
      <c r="AO406">
        <f t="shared" si="102"/>
        <v>0</v>
      </c>
      <c r="AP406">
        <f t="shared" si="103"/>
        <v>0</v>
      </c>
      <c r="AQ406">
        <f t="shared" si="91"/>
        <v>0</v>
      </c>
      <c r="AR406">
        <f t="shared" si="104"/>
        <v>0</v>
      </c>
    </row>
    <row r="407" spans="1:44" x14ac:dyDescent="0.25">
      <c r="A407" t="s">
        <v>455</v>
      </c>
      <c r="B407" t="s">
        <v>43</v>
      </c>
      <c r="C407" t="s">
        <v>43</v>
      </c>
      <c r="E407" t="s">
        <v>43</v>
      </c>
      <c r="I407" s="1" t="s">
        <v>43</v>
      </c>
      <c r="J407" s="1" t="s">
        <v>43</v>
      </c>
      <c r="K407" s="1"/>
      <c r="L407" s="1" t="s">
        <v>43</v>
      </c>
      <c r="M407" s="1" t="b">
        <v>0</v>
      </c>
      <c r="N407" s="1"/>
      <c r="O407">
        <v>3</v>
      </c>
      <c r="P407">
        <v>1</v>
      </c>
      <c r="Q407">
        <v>0</v>
      </c>
      <c r="R407" s="1">
        <f t="shared" si="92"/>
        <v>3</v>
      </c>
      <c r="S407" s="1">
        <f t="shared" si="93"/>
        <v>1</v>
      </c>
      <c r="T407" s="1">
        <f t="shared" si="94"/>
        <v>0</v>
      </c>
      <c r="U407" s="1">
        <f t="shared" si="95"/>
        <v>1</v>
      </c>
      <c r="V407" s="1">
        <f t="shared" si="96"/>
        <v>5</v>
      </c>
      <c r="W407" s="1" t="str">
        <f t="shared" si="97"/>
        <v>HR</v>
      </c>
      <c r="X407" t="s">
        <v>39</v>
      </c>
      <c r="Y407" t="s">
        <v>39</v>
      </c>
      <c r="AJ407">
        <f t="shared" si="98"/>
        <v>101</v>
      </c>
      <c r="AK407">
        <f t="shared" si="99"/>
        <v>0</v>
      </c>
      <c r="AL407">
        <f t="shared" si="100"/>
        <v>5</v>
      </c>
      <c r="AM407">
        <f t="shared" si="90"/>
        <v>0</v>
      </c>
      <c r="AN407">
        <f t="shared" si="101"/>
        <v>5</v>
      </c>
      <c r="AO407">
        <f t="shared" si="102"/>
        <v>0</v>
      </c>
      <c r="AP407">
        <f t="shared" si="103"/>
        <v>0</v>
      </c>
      <c r="AQ407">
        <f t="shared" si="91"/>
        <v>0</v>
      </c>
      <c r="AR407">
        <f t="shared" si="104"/>
        <v>0</v>
      </c>
    </row>
    <row r="408" spans="1:44" x14ac:dyDescent="0.25">
      <c r="A408" t="s">
        <v>456</v>
      </c>
      <c r="B408" t="s">
        <v>43</v>
      </c>
      <c r="D408" t="s">
        <v>43</v>
      </c>
      <c r="E408" t="s">
        <v>43</v>
      </c>
      <c r="I408" s="1" t="s">
        <v>43</v>
      </c>
      <c r="J408" s="1"/>
      <c r="K408" s="1" t="s">
        <v>43</v>
      </c>
      <c r="L408" s="1" t="s">
        <v>43</v>
      </c>
      <c r="M408" s="1" t="b">
        <v>0</v>
      </c>
      <c r="N408" s="1"/>
      <c r="O408">
        <v>3</v>
      </c>
      <c r="P408">
        <v>1</v>
      </c>
      <c r="Q408">
        <v>0</v>
      </c>
      <c r="R408" s="1">
        <f t="shared" si="92"/>
        <v>3</v>
      </c>
      <c r="S408" s="1">
        <f t="shared" si="93"/>
        <v>1</v>
      </c>
      <c r="T408" s="1">
        <f t="shared" si="94"/>
        <v>0</v>
      </c>
      <c r="U408" s="1">
        <f t="shared" si="95"/>
        <v>1</v>
      </c>
      <c r="V408" s="1">
        <f t="shared" si="96"/>
        <v>6</v>
      </c>
      <c r="W408" s="1" t="str">
        <f t="shared" si="97"/>
        <v>HR</v>
      </c>
      <c r="X408" t="s">
        <v>39</v>
      </c>
      <c r="Y408" t="s">
        <v>39</v>
      </c>
      <c r="AJ408">
        <f t="shared" si="98"/>
        <v>110</v>
      </c>
      <c r="AK408">
        <f t="shared" si="99"/>
        <v>0</v>
      </c>
      <c r="AL408">
        <f t="shared" si="100"/>
        <v>6</v>
      </c>
      <c r="AM408">
        <f t="shared" si="90"/>
        <v>0</v>
      </c>
      <c r="AN408">
        <f t="shared" si="101"/>
        <v>6</v>
      </c>
      <c r="AO408">
        <f t="shared" si="102"/>
        <v>0</v>
      </c>
      <c r="AP408">
        <f t="shared" si="103"/>
        <v>0</v>
      </c>
      <c r="AQ408">
        <f t="shared" si="91"/>
        <v>0</v>
      </c>
      <c r="AR408">
        <f t="shared" si="104"/>
        <v>0</v>
      </c>
    </row>
    <row r="409" spans="1:44" x14ac:dyDescent="0.25">
      <c r="A409" t="s">
        <v>457</v>
      </c>
      <c r="B409" t="s">
        <v>43</v>
      </c>
      <c r="C409" t="s">
        <v>43</v>
      </c>
      <c r="D409" t="s">
        <v>43</v>
      </c>
      <c r="E409" t="s">
        <v>43</v>
      </c>
      <c r="I409" s="1" t="s">
        <v>43</v>
      </c>
      <c r="J409" s="1" t="s">
        <v>43</v>
      </c>
      <c r="K409" s="1" t="s">
        <v>43</v>
      </c>
      <c r="L409" s="1" t="s">
        <v>43</v>
      </c>
      <c r="M409" s="1" t="b">
        <v>0</v>
      </c>
      <c r="N409" s="1"/>
      <c r="O409">
        <v>4</v>
      </c>
      <c r="P409">
        <v>1</v>
      </c>
      <c r="Q409">
        <v>0</v>
      </c>
      <c r="R409" s="1">
        <f t="shared" si="92"/>
        <v>4</v>
      </c>
      <c r="S409" s="1">
        <f t="shared" si="93"/>
        <v>1</v>
      </c>
      <c r="T409" s="1">
        <f t="shared" si="94"/>
        <v>0</v>
      </c>
      <c r="U409" s="1">
        <f t="shared" si="95"/>
        <v>1</v>
      </c>
      <c r="V409" s="1">
        <f t="shared" si="96"/>
        <v>7</v>
      </c>
      <c r="W409" s="1" t="str">
        <f t="shared" si="97"/>
        <v>HR</v>
      </c>
      <c r="X409" t="s">
        <v>39</v>
      </c>
      <c r="Y409" t="s">
        <v>39</v>
      </c>
      <c r="AJ409">
        <f t="shared" si="98"/>
        <v>111</v>
      </c>
      <c r="AK409">
        <f t="shared" si="99"/>
        <v>0</v>
      </c>
      <c r="AL409">
        <f t="shared" si="100"/>
        <v>7</v>
      </c>
      <c r="AM409">
        <f t="shared" si="90"/>
        <v>0</v>
      </c>
      <c r="AN409">
        <f t="shared" si="101"/>
        <v>7</v>
      </c>
      <c r="AO409">
        <f t="shared" si="102"/>
        <v>0</v>
      </c>
      <c r="AP409">
        <f t="shared" si="103"/>
        <v>0</v>
      </c>
      <c r="AQ409">
        <f t="shared" si="91"/>
        <v>0</v>
      </c>
      <c r="AR409">
        <f t="shared" si="104"/>
        <v>0</v>
      </c>
    </row>
    <row r="410" spans="1:44" x14ac:dyDescent="0.25">
      <c r="A410" t="s">
        <v>458</v>
      </c>
      <c r="B410" t="s">
        <v>43</v>
      </c>
      <c r="I410" s="1" t="s">
        <v>43</v>
      </c>
      <c r="J410" s="1"/>
      <c r="K410" s="1"/>
      <c r="L410" s="1"/>
      <c r="M410" s="1" t="b">
        <v>0</v>
      </c>
      <c r="N410" s="1"/>
      <c r="O410">
        <v>1</v>
      </c>
      <c r="P410">
        <v>2</v>
      </c>
      <c r="Q410">
        <v>0</v>
      </c>
      <c r="R410" s="1">
        <f t="shared" si="92"/>
        <v>1</v>
      </c>
      <c r="S410" s="1">
        <f t="shared" si="93"/>
        <v>2</v>
      </c>
      <c r="T410" s="1">
        <f t="shared" si="94"/>
        <v>0</v>
      </c>
      <c r="U410" s="1">
        <f t="shared" si="95"/>
        <v>2</v>
      </c>
      <c r="V410" s="1">
        <f t="shared" si="96"/>
        <v>0</v>
      </c>
      <c r="W410" s="1" t="str">
        <f t="shared" si="97"/>
        <v>HR</v>
      </c>
      <c r="X410" t="s">
        <v>39</v>
      </c>
      <c r="Y410" t="s">
        <v>39</v>
      </c>
      <c r="AJ410">
        <f t="shared" si="98"/>
        <v>0</v>
      </c>
      <c r="AK410">
        <f t="shared" si="99"/>
        <v>0</v>
      </c>
      <c r="AL410">
        <f t="shared" si="100"/>
        <v>0</v>
      </c>
      <c r="AM410">
        <f t="shared" si="90"/>
        <v>0</v>
      </c>
      <c r="AN410">
        <f t="shared" si="101"/>
        <v>0</v>
      </c>
      <c r="AO410">
        <f t="shared" si="102"/>
        <v>0</v>
      </c>
      <c r="AP410">
        <f t="shared" si="103"/>
        <v>0</v>
      </c>
      <c r="AQ410">
        <f t="shared" si="91"/>
        <v>0</v>
      </c>
      <c r="AR410">
        <f t="shared" si="104"/>
        <v>0</v>
      </c>
    </row>
    <row r="411" spans="1:44" x14ac:dyDescent="0.25">
      <c r="A411" t="s">
        <v>459</v>
      </c>
      <c r="B411" t="s">
        <v>43</v>
      </c>
      <c r="C411" t="s">
        <v>43</v>
      </c>
      <c r="I411" s="1" t="s">
        <v>43</v>
      </c>
      <c r="J411" s="1" t="s">
        <v>43</v>
      </c>
      <c r="K411" s="1"/>
      <c r="L411" s="1"/>
      <c r="M411" s="1" t="b">
        <v>0</v>
      </c>
      <c r="N411" s="1"/>
      <c r="O411">
        <v>2</v>
      </c>
      <c r="P411">
        <v>2</v>
      </c>
      <c r="Q411">
        <v>0</v>
      </c>
      <c r="R411" s="1">
        <f t="shared" si="92"/>
        <v>2</v>
      </c>
      <c r="S411" s="1">
        <f t="shared" si="93"/>
        <v>2</v>
      </c>
      <c r="T411" s="1">
        <f t="shared" si="94"/>
        <v>0</v>
      </c>
      <c r="U411" s="1">
        <f t="shared" si="95"/>
        <v>2</v>
      </c>
      <c r="V411" s="1">
        <f t="shared" si="96"/>
        <v>1</v>
      </c>
      <c r="W411" s="1" t="str">
        <f t="shared" si="97"/>
        <v>HR</v>
      </c>
      <c r="X411" t="s">
        <v>39</v>
      </c>
      <c r="Y411" t="s">
        <v>39</v>
      </c>
      <c r="AJ411">
        <f t="shared" si="98"/>
        <v>1</v>
      </c>
      <c r="AK411">
        <f t="shared" si="99"/>
        <v>0</v>
      </c>
      <c r="AL411">
        <f t="shared" si="100"/>
        <v>1</v>
      </c>
      <c r="AM411">
        <f t="shared" si="90"/>
        <v>0</v>
      </c>
      <c r="AN411">
        <f t="shared" si="101"/>
        <v>1</v>
      </c>
      <c r="AO411">
        <f t="shared" si="102"/>
        <v>0</v>
      </c>
      <c r="AP411">
        <f t="shared" si="103"/>
        <v>0</v>
      </c>
      <c r="AQ411">
        <f t="shared" si="91"/>
        <v>0</v>
      </c>
      <c r="AR411">
        <f t="shared" si="104"/>
        <v>0</v>
      </c>
    </row>
    <row r="412" spans="1:44" x14ac:dyDescent="0.25">
      <c r="A412" t="s">
        <v>460</v>
      </c>
      <c r="B412" t="s">
        <v>43</v>
      </c>
      <c r="D412" t="s">
        <v>43</v>
      </c>
      <c r="I412" s="1" t="s">
        <v>43</v>
      </c>
      <c r="J412" s="1"/>
      <c r="K412" s="1" t="s">
        <v>43</v>
      </c>
      <c r="L412" s="1"/>
      <c r="M412" s="1" t="b">
        <v>0</v>
      </c>
      <c r="N412" s="1"/>
      <c r="O412">
        <v>2</v>
      </c>
      <c r="P412">
        <v>2</v>
      </c>
      <c r="Q412">
        <v>0</v>
      </c>
      <c r="R412" s="1">
        <f t="shared" si="92"/>
        <v>2</v>
      </c>
      <c r="S412" s="1">
        <f t="shared" si="93"/>
        <v>2</v>
      </c>
      <c r="T412" s="1">
        <f t="shared" si="94"/>
        <v>0</v>
      </c>
      <c r="U412" s="1">
        <f t="shared" si="95"/>
        <v>2</v>
      </c>
      <c r="V412" s="1">
        <f t="shared" si="96"/>
        <v>2</v>
      </c>
      <c r="W412" s="1" t="str">
        <f t="shared" si="97"/>
        <v>HR</v>
      </c>
      <c r="X412" t="s">
        <v>39</v>
      </c>
      <c r="Y412" t="s">
        <v>39</v>
      </c>
      <c r="AJ412">
        <f t="shared" si="98"/>
        <v>10</v>
      </c>
      <c r="AK412">
        <f t="shared" si="99"/>
        <v>0</v>
      </c>
      <c r="AL412">
        <f t="shared" si="100"/>
        <v>2</v>
      </c>
      <c r="AM412">
        <f t="shared" si="90"/>
        <v>0</v>
      </c>
      <c r="AN412">
        <f t="shared" si="101"/>
        <v>2</v>
      </c>
      <c r="AO412">
        <f t="shared" si="102"/>
        <v>0</v>
      </c>
      <c r="AP412">
        <f t="shared" si="103"/>
        <v>0</v>
      </c>
      <c r="AQ412">
        <f t="shared" si="91"/>
        <v>0</v>
      </c>
      <c r="AR412">
        <f t="shared" si="104"/>
        <v>0</v>
      </c>
    </row>
    <row r="413" spans="1:44" x14ac:dyDescent="0.25">
      <c r="A413" t="s">
        <v>461</v>
      </c>
      <c r="B413" t="s">
        <v>43</v>
      </c>
      <c r="E413" t="s">
        <v>43</v>
      </c>
      <c r="I413" s="1" t="s">
        <v>43</v>
      </c>
      <c r="J413" s="1"/>
      <c r="K413" s="1"/>
      <c r="L413" s="1" t="s">
        <v>43</v>
      </c>
      <c r="M413" s="1" t="b">
        <v>0</v>
      </c>
      <c r="N413" s="1"/>
      <c r="O413">
        <v>2</v>
      </c>
      <c r="P413">
        <v>2</v>
      </c>
      <c r="Q413">
        <v>0</v>
      </c>
      <c r="R413" s="1">
        <f t="shared" si="92"/>
        <v>2</v>
      </c>
      <c r="S413" s="1">
        <f t="shared" si="93"/>
        <v>2</v>
      </c>
      <c r="T413" s="1">
        <f t="shared" si="94"/>
        <v>0</v>
      </c>
      <c r="U413" s="1">
        <f t="shared" si="95"/>
        <v>2</v>
      </c>
      <c r="V413" s="1">
        <f t="shared" si="96"/>
        <v>3</v>
      </c>
      <c r="W413" s="1" t="str">
        <f t="shared" si="97"/>
        <v>HR</v>
      </c>
      <c r="X413" t="s">
        <v>39</v>
      </c>
      <c r="Y413" t="s">
        <v>39</v>
      </c>
      <c r="AJ413">
        <f t="shared" si="98"/>
        <v>100</v>
      </c>
      <c r="AK413">
        <f t="shared" si="99"/>
        <v>0</v>
      </c>
      <c r="AL413">
        <f t="shared" si="100"/>
        <v>3</v>
      </c>
      <c r="AM413">
        <f t="shared" si="90"/>
        <v>0</v>
      </c>
      <c r="AN413">
        <f t="shared" si="101"/>
        <v>3</v>
      </c>
      <c r="AO413">
        <f t="shared" si="102"/>
        <v>0</v>
      </c>
      <c r="AP413">
        <f t="shared" si="103"/>
        <v>0</v>
      </c>
      <c r="AQ413">
        <f t="shared" si="91"/>
        <v>0</v>
      </c>
      <c r="AR413">
        <f t="shared" si="104"/>
        <v>0</v>
      </c>
    </row>
    <row r="414" spans="1:44" x14ac:dyDescent="0.25">
      <c r="A414" t="s">
        <v>462</v>
      </c>
      <c r="B414" t="s">
        <v>43</v>
      </c>
      <c r="C414" t="s">
        <v>43</v>
      </c>
      <c r="D414" t="s">
        <v>43</v>
      </c>
      <c r="I414" s="1" t="s">
        <v>43</v>
      </c>
      <c r="J414" s="1" t="s">
        <v>43</v>
      </c>
      <c r="K414" s="1" t="s">
        <v>43</v>
      </c>
      <c r="L414" s="1"/>
      <c r="M414" s="1" t="b">
        <v>0</v>
      </c>
      <c r="N414" s="1"/>
      <c r="O414">
        <v>3</v>
      </c>
      <c r="P414">
        <v>2</v>
      </c>
      <c r="Q414">
        <v>0</v>
      </c>
      <c r="R414" s="1">
        <f t="shared" si="92"/>
        <v>3</v>
      </c>
      <c r="S414" s="1">
        <f t="shared" si="93"/>
        <v>2</v>
      </c>
      <c r="T414" s="1">
        <f t="shared" si="94"/>
        <v>0</v>
      </c>
      <c r="U414" s="1">
        <f t="shared" si="95"/>
        <v>2</v>
      </c>
      <c r="V414" s="1">
        <f t="shared" si="96"/>
        <v>4</v>
      </c>
      <c r="W414" s="1" t="str">
        <f t="shared" si="97"/>
        <v>HR</v>
      </c>
      <c r="X414" t="s">
        <v>39</v>
      </c>
      <c r="Y414" t="s">
        <v>39</v>
      </c>
      <c r="AJ414">
        <f t="shared" si="98"/>
        <v>11</v>
      </c>
      <c r="AK414">
        <f t="shared" si="99"/>
        <v>0</v>
      </c>
      <c r="AL414">
        <f t="shared" si="100"/>
        <v>4</v>
      </c>
      <c r="AM414">
        <f t="shared" si="90"/>
        <v>0</v>
      </c>
      <c r="AN414">
        <f t="shared" si="101"/>
        <v>4</v>
      </c>
      <c r="AO414">
        <f t="shared" si="102"/>
        <v>0</v>
      </c>
      <c r="AP414">
        <f t="shared" si="103"/>
        <v>0</v>
      </c>
      <c r="AQ414">
        <f t="shared" si="91"/>
        <v>0</v>
      </c>
      <c r="AR414">
        <f t="shared" si="104"/>
        <v>0</v>
      </c>
    </row>
    <row r="415" spans="1:44" x14ac:dyDescent="0.25">
      <c r="A415" t="s">
        <v>463</v>
      </c>
      <c r="B415" t="s">
        <v>43</v>
      </c>
      <c r="C415" t="s">
        <v>43</v>
      </c>
      <c r="E415" t="s">
        <v>43</v>
      </c>
      <c r="I415" s="1" t="s">
        <v>43</v>
      </c>
      <c r="J415" s="1" t="s">
        <v>43</v>
      </c>
      <c r="K415" s="1"/>
      <c r="L415" s="1" t="s">
        <v>43</v>
      </c>
      <c r="M415" s="1" t="b">
        <v>0</v>
      </c>
      <c r="N415" s="1"/>
      <c r="O415">
        <v>3</v>
      </c>
      <c r="P415">
        <v>2</v>
      </c>
      <c r="Q415">
        <v>0</v>
      </c>
      <c r="R415" s="1">
        <f t="shared" si="92"/>
        <v>3</v>
      </c>
      <c r="S415" s="1">
        <f t="shared" si="93"/>
        <v>2</v>
      </c>
      <c r="T415" s="1">
        <f t="shared" si="94"/>
        <v>0</v>
      </c>
      <c r="U415" s="1">
        <f t="shared" si="95"/>
        <v>2</v>
      </c>
      <c r="V415" s="1">
        <f t="shared" si="96"/>
        <v>5</v>
      </c>
      <c r="W415" s="1" t="str">
        <f t="shared" si="97"/>
        <v>HR</v>
      </c>
      <c r="X415" t="s">
        <v>39</v>
      </c>
      <c r="Y415" t="s">
        <v>39</v>
      </c>
      <c r="AJ415">
        <f t="shared" si="98"/>
        <v>101</v>
      </c>
      <c r="AK415">
        <f t="shared" si="99"/>
        <v>0</v>
      </c>
      <c r="AL415">
        <f t="shared" si="100"/>
        <v>5</v>
      </c>
      <c r="AM415">
        <f t="shared" si="90"/>
        <v>0</v>
      </c>
      <c r="AN415">
        <f t="shared" si="101"/>
        <v>5</v>
      </c>
      <c r="AO415">
        <f t="shared" si="102"/>
        <v>0</v>
      </c>
      <c r="AP415">
        <f t="shared" si="103"/>
        <v>0</v>
      </c>
      <c r="AQ415">
        <f t="shared" si="91"/>
        <v>0</v>
      </c>
      <c r="AR415">
        <f t="shared" si="104"/>
        <v>0</v>
      </c>
    </row>
    <row r="416" spans="1:44" x14ac:dyDescent="0.25">
      <c r="A416" t="s">
        <v>464</v>
      </c>
      <c r="B416" t="s">
        <v>43</v>
      </c>
      <c r="D416" t="s">
        <v>43</v>
      </c>
      <c r="E416" t="s">
        <v>43</v>
      </c>
      <c r="I416" s="1" t="s">
        <v>43</v>
      </c>
      <c r="J416" s="1"/>
      <c r="K416" s="1" t="s">
        <v>43</v>
      </c>
      <c r="L416" s="1" t="s">
        <v>43</v>
      </c>
      <c r="M416" s="1" t="b">
        <v>0</v>
      </c>
      <c r="N416" s="1"/>
      <c r="O416">
        <v>3</v>
      </c>
      <c r="P416">
        <v>2</v>
      </c>
      <c r="Q416">
        <v>0</v>
      </c>
      <c r="R416" s="1">
        <f t="shared" si="92"/>
        <v>3</v>
      </c>
      <c r="S416" s="1">
        <f t="shared" si="93"/>
        <v>2</v>
      </c>
      <c r="T416" s="1">
        <f t="shared" si="94"/>
        <v>0</v>
      </c>
      <c r="U416" s="1">
        <f t="shared" si="95"/>
        <v>2</v>
      </c>
      <c r="V416" s="1">
        <f t="shared" si="96"/>
        <v>6</v>
      </c>
      <c r="W416" s="1" t="str">
        <f t="shared" si="97"/>
        <v>HR</v>
      </c>
      <c r="X416" t="s">
        <v>39</v>
      </c>
      <c r="Y416" t="s">
        <v>39</v>
      </c>
      <c r="AJ416">
        <f t="shared" si="98"/>
        <v>110</v>
      </c>
      <c r="AK416">
        <f t="shared" si="99"/>
        <v>0</v>
      </c>
      <c r="AL416">
        <f t="shared" si="100"/>
        <v>6</v>
      </c>
      <c r="AM416">
        <f t="shared" si="90"/>
        <v>0</v>
      </c>
      <c r="AN416">
        <f t="shared" si="101"/>
        <v>6</v>
      </c>
      <c r="AO416">
        <f t="shared" si="102"/>
        <v>0</v>
      </c>
      <c r="AP416">
        <f t="shared" si="103"/>
        <v>0</v>
      </c>
      <c r="AQ416">
        <f t="shared" si="91"/>
        <v>0</v>
      </c>
      <c r="AR416">
        <f t="shared" si="104"/>
        <v>0</v>
      </c>
    </row>
    <row r="417" spans="1:44" x14ac:dyDescent="0.25">
      <c r="A417" t="s">
        <v>465</v>
      </c>
      <c r="B417" t="s">
        <v>43</v>
      </c>
      <c r="C417" t="s">
        <v>43</v>
      </c>
      <c r="D417" t="s">
        <v>43</v>
      </c>
      <c r="E417" t="s">
        <v>43</v>
      </c>
      <c r="I417" s="1" t="s">
        <v>43</v>
      </c>
      <c r="J417" s="1" t="s">
        <v>43</v>
      </c>
      <c r="K417" s="1" t="s">
        <v>43</v>
      </c>
      <c r="L417" s="1" t="s">
        <v>43</v>
      </c>
      <c r="M417" s="1" t="b">
        <v>0</v>
      </c>
      <c r="N417" s="1"/>
      <c r="O417">
        <v>4</v>
      </c>
      <c r="P417">
        <v>2</v>
      </c>
      <c r="Q417">
        <v>0</v>
      </c>
      <c r="R417" s="1">
        <f t="shared" si="92"/>
        <v>4</v>
      </c>
      <c r="S417" s="1">
        <f t="shared" si="93"/>
        <v>2</v>
      </c>
      <c r="T417" s="1">
        <f t="shared" si="94"/>
        <v>0</v>
      </c>
      <c r="U417" s="1">
        <f t="shared" si="95"/>
        <v>2</v>
      </c>
      <c r="V417" s="1">
        <f t="shared" si="96"/>
        <v>7</v>
      </c>
      <c r="W417" s="1" t="str">
        <f t="shared" si="97"/>
        <v>HR</v>
      </c>
      <c r="X417" t="s">
        <v>39</v>
      </c>
      <c r="Y417" t="s">
        <v>39</v>
      </c>
      <c r="AJ417">
        <f t="shared" si="98"/>
        <v>111</v>
      </c>
      <c r="AK417">
        <f t="shared" si="99"/>
        <v>0</v>
      </c>
      <c r="AL417">
        <f t="shared" si="100"/>
        <v>7</v>
      </c>
      <c r="AM417">
        <f t="shared" si="90"/>
        <v>0</v>
      </c>
      <c r="AN417">
        <f t="shared" si="101"/>
        <v>7</v>
      </c>
      <c r="AO417">
        <f t="shared" si="102"/>
        <v>0</v>
      </c>
      <c r="AP417">
        <f t="shared" si="103"/>
        <v>0</v>
      </c>
      <c r="AQ417">
        <f t="shared" si="91"/>
        <v>0</v>
      </c>
      <c r="AR417">
        <f t="shared" si="104"/>
        <v>0</v>
      </c>
    </row>
    <row r="418" spans="1:44" x14ac:dyDescent="0.25">
      <c r="A418" t="s">
        <v>466</v>
      </c>
      <c r="B418" t="s">
        <v>5</v>
      </c>
      <c r="F418" t="s">
        <v>1</v>
      </c>
      <c r="I418" s="1" t="s">
        <v>5</v>
      </c>
      <c r="J418" s="1"/>
      <c r="K418" s="1"/>
      <c r="L418" s="1"/>
      <c r="M418" s="1" t="b">
        <v>0</v>
      </c>
      <c r="N418" s="1"/>
      <c r="O418">
        <v>0</v>
      </c>
      <c r="P418">
        <v>0</v>
      </c>
      <c r="Q418">
        <v>1</v>
      </c>
      <c r="R418" s="1">
        <f t="shared" si="92"/>
        <v>0</v>
      </c>
      <c r="S418" s="1">
        <f t="shared" si="93"/>
        <v>0</v>
      </c>
      <c r="T418" s="1">
        <f t="shared" si="94"/>
        <v>0</v>
      </c>
      <c r="U418" s="1">
        <f t="shared" si="95"/>
        <v>0</v>
      </c>
      <c r="V418" s="1">
        <f t="shared" si="96"/>
        <v>0</v>
      </c>
      <c r="W418" s="1" t="str">
        <f t="shared" si="97"/>
        <v>IBB</v>
      </c>
      <c r="X418" t="s">
        <v>149</v>
      </c>
      <c r="Y418" t="s">
        <v>149</v>
      </c>
      <c r="AJ418">
        <f t="shared" si="98"/>
        <v>0</v>
      </c>
      <c r="AK418">
        <f t="shared" si="99"/>
        <v>1</v>
      </c>
      <c r="AL418">
        <f t="shared" si="100"/>
        <v>0</v>
      </c>
      <c r="AM418">
        <f t="shared" si="90"/>
        <v>1</v>
      </c>
      <c r="AN418">
        <f t="shared" si="101"/>
        <v>0</v>
      </c>
      <c r="AO418">
        <f t="shared" si="102"/>
        <v>1</v>
      </c>
      <c r="AP418">
        <f t="shared" si="103"/>
        <v>0</v>
      </c>
      <c r="AQ418">
        <f t="shared" si="91"/>
        <v>0</v>
      </c>
      <c r="AR418">
        <f t="shared" si="104"/>
        <v>0</v>
      </c>
    </row>
    <row r="419" spans="1:44" x14ac:dyDescent="0.25">
      <c r="A419" t="s">
        <v>467</v>
      </c>
      <c r="B419" t="s">
        <v>5</v>
      </c>
      <c r="C419" t="s">
        <v>6</v>
      </c>
      <c r="F419" t="s">
        <v>1</v>
      </c>
      <c r="G419" t="s">
        <v>2</v>
      </c>
      <c r="I419" s="1" t="s">
        <v>5</v>
      </c>
      <c r="J419" s="1" t="s">
        <v>6</v>
      </c>
      <c r="K419" s="1"/>
      <c r="L419" s="1"/>
      <c r="M419" s="1" t="b">
        <v>0</v>
      </c>
      <c r="N419" s="1"/>
      <c r="O419">
        <v>0</v>
      </c>
      <c r="P419">
        <v>0</v>
      </c>
      <c r="Q419">
        <v>4</v>
      </c>
      <c r="R419" s="1">
        <f t="shared" si="92"/>
        <v>0</v>
      </c>
      <c r="S419" s="1">
        <f t="shared" si="93"/>
        <v>0</v>
      </c>
      <c r="T419" s="1">
        <f t="shared" si="94"/>
        <v>0</v>
      </c>
      <c r="U419" s="1">
        <f t="shared" si="95"/>
        <v>0</v>
      </c>
      <c r="V419" s="1">
        <f t="shared" si="96"/>
        <v>1</v>
      </c>
      <c r="W419" s="1" t="str">
        <f t="shared" si="97"/>
        <v>IBB</v>
      </c>
      <c r="X419" t="s">
        <v>149</v>
      </c>
      <c r="Y419" t="s">
        <v>149</v>
      </c>
      <c r="AJ419">
        <f t="shared" si="98"/>
        <v>1</v>
      </c>
      <c r="AK419">
        <f t="shared" si="99"/>
        <v>11</v>
      </c>
      <c r="AL419">
        <f t="shared" si="100"/>
        <v>1</v>
      </c>
      <c r="AM419">
        <f t="shared" si="90"/>
        <v>4</v>
      </c>
      <c r="AN419">
        <f t="shared" si="101"/>
        <v>1</v>
      </c>
      <c r="AO419">
        <f t="shared" si="102"/>
        <v>4</v>
      </c>
      <c r="AP419">
        <f t="shared" si="103"/>
        <v>0</v>
      </c>
      <c r="AQ419">
        <f t="shared" si="91"/>
        <v>0</v>
      </c>
      <c r="AR419">
        <f t="shared" si="104"/>
        <v>0</v>
      </c>
    </row>
    <row r="420" spans="1:44" x14ac:dyDescent="0.25">
      <c r="A420" t="s">
        <v>468</v>
      </c>
      <c r="B420" t="s">
        <v>5</v>
      </c>
      <c r="D420" t="s">
        <v>6</v>
      </c>
      <c r="F420" t="s">
        <v>1</v>
      </c>
      <c r="G420" t="s">
        <v>3</v>
      </c>
      <c r="I420" s="1" t="s">
        <v>5</v>
      </c>
      <c r="J420" s="1"/>
      <c r="K420" s="1" t="s">
        <v>6</v>
      </c>
      <c r="L420" s="1"/>
      <c r="M420" s="1" t="b">
        <v>0</v>
      </c>
      <c r="N420" s="1"/>
      <c r="O420">
        <v>0</v>
      </c>
      <c r="P420">
        <v>0</v>
      </c>
      <c r="Q420">
        <v>4</v>
      </c>
      <c r="R420" s="1">
        <f t="shared" si="92"/>
        <v>0</v>
      </c>
      <c r="S420" s="1">
        <f t="shared" si="93"/>
        <v>0</v>
      </c>
      <c r="T420" s="1">
        <f t="shared" si="94"/>
        <v>0</v>
      </c>
      <c r="U420" s="1">
        <f t="shared" si="95"/>
        <v>0</v>
      </c>
      <c r="V420" s="1">
        <f t="shared" si="96"/>
        <v>2</v>
      </c>
      <c r="W420" s="1" t="str">
        <f t="shared" si="97"/>
        <v>IBB</v>
      </c>
      <c r="X420" t="s">
        <v>149</v>
      </c>
      <c r="Y420" t="s">
        <v>149</v>
      </c>
      <c r="AJ420">
        <f t="shared" si="98"/>
        <v>10</v>
      </c>
      <c r="AK420">
        <f t="shared" si="99"/>
        <v>11</v>
      </c>
      <c r="AL420">
        <f t="shared" si="100"/>
        <v>2</v>
      </c>
      <c r="AM420">
        <f t="shared" si="90"/>
        <v>4</v>
      </c>
      <c r="AN420">
        <f t="shared" si="101"/>
        <v>2</v>
      </c>
      <c r="AO420">
        <f t="shared" si="102"/>
        <v>4</v>
      </c>
      <c r="AP420">
        <f t="shared" si="103"/>
        <v>0</v>
      </c>
      <c r="AQ420">
        <f t="shared" si="91"/>
        <v>0</v>
      </c>
      <c r="AR420">
        <f t="shared" si="104"/>
        <v>0</v>
      </c>
    </row>
    <row r="421" spans="1:44" x14ac:dyDescent="0.25">
      <c r="A421" t="s">
        <v>469</v>
      </c>
      <c r="B421" t="s">
        <v>5</v>
      </c>
      <c r="E421" t="s">
        <v>7</v>
      </c>
      <c r="F421" t="s">
        <v>1</v>
      </c>
      <c r="H421" t="s">
        <v>4</v>
      </c>
      <c r="I421" s="1" t="s">
        <v>5</v>
      </c>
      <c r="J421" s="1"/>
      <c r="K421" s="1"/>
      <c r="L421" s="1" t="s">
        <v>7</v>
      </c>
      <c r="M421" s="1" t="b">
        <v>0</v>
      </c>
      <c r="N421" s="1"/>
      <c r="O421">
        <v>0</v>
      </c>
      <c r="P421">
        <v>0</v>
      </c>
      <c r="Q421">
        <v>5</v>
      </c>
      <c r="R421" s="1">
        <f t="shared" si="92"/>
        <v>0</v>
      </c>
      <c r="S421" s="1">
        <f t="shared" si="93"/>
        <v>0</v>
      </c>
      <c r="T421" s="1">
        <f t="shared" si="94"/>
        <v>0</v>
      </c>
      <c r="U421" s="1">
        <f t="shared" si="95"/>
        <v>0</v>
      </c>
      <c r="V421" s="1">
        <f t="shared" si="96"/>
        <v>3</v>
      </c>
      <c r="W421" s="1" t="str">
        <f t="shared" si="97"/>
        <v>IBB</v>
      </c>
      <c r="X421" t="s">
        <v>149</v>
      </c>
      <c r="Y421" t="s">
        <v>149</v>
      </c>
      <c r="AJ421">
        <f t="shared" si="98"/>
        <v>100</v>
      </c>
      <c r="AK421">
        <f t="shared" si="99"/>
        <v>101</v>
      </c>
      <c r="AL421">
        <f t="shared" si="100"/>
        <v>3</v>
      </c>
      <c r="AM421">
        <f t="shared" si="90"/>
        <v>5</v>
      </c>
      <c r="AN421">
        <f t="shared" si="101"/>
        <v>3</v>
      </c>
      <c r="AO421">
        <f t="shared" si="102"/>
        <v>5</v>
      </c>
      <c r="AP421">
        <f t="shared" si="103"/>
        <v>0</v>
      </c>
      <c r="AQ421">
        <f t="shared" si="91"/>
        <v>0</v>
      </c>
      <c r="AR421">
        <f t="shared" si="104"/>
        <v>0</v>
      </c>
    </row>
    <row r="422" spans="1:44" x14ac:dyDescent="0.25">
      <c r="A422" t="s">
        <v>470</v>
      </c>
      <c r="B422" t="s">
        <v>5</v>
      </c>
      <c r="C422" t="s">
        <v>6</v>
      </c>
      <c r="D422" t="s">
        <v>7</v>
      </c>
      <c r="F422" t="s">
        <v>1</v>
      </c>
      <c r="G422" t="s">
        <v>2</v>
      </c>
      <c r="H422" t="s">
        <v>3</v>
      </c>
      <c r="I422" s="1" t="s">
        <v>5</v>
      </c>
      <c r="J422" s="1" t="s">
        <v>6</v>
      </c>
      <c r="K422" s="1" t="s">
        <v>7</v>
      </c>
      <c r="L422" s="1"/>
      <c r="M422" s="1" t="b">
        <v>0</v>
      </c>
      <c r="N422" s="1"/>
      <c r="O422">
        <v>0</v>
      </c>
      <c r="P422">
        <v>0</v>
      </c>
      <c r="Q422">
        <v>7</v>
      </c>
      <c r="R422" s="1">
        <f t="shared" si="92"/>
        <v>0</v>
      </c>
      <c r="S422" s="1">
        <f t="shared" si="93"/>
        <v>0</v>
      </c>
      <c r="T422" s="1">
        <f t="shared" si="94"/>
        <v>0</v>
      </c>
      <c r="U422" s="1">
        <f t="shared" si="95"/>
        <v>0</v>
      </c>
      <c r="V422" s="1">
        <f t="shared" si="96"/>
        <v>4</v>
      </c>
      <c r="W422" s="1" t="str">
        <f t="shared" si="97"/>
        <v>IBB</v>
      </c>
      <c r="X422" t="s">
        <v>149</v>
      </c>
      <c r="Y422" t="s">
        <v>149</v>
      </c>
      <c r="AJ422">
        <f t="shared" si="98"/>
        <v>11</v>
      </c>
      <c r="AK422">
        <f t="shared" si="99"/>
        <v>111</v>
      </c>
      <c r="AL422">
        <f t="shared" si="100"/>
        <v>4</v>
      </c>
      <c r="AM422">
        <f t="shared" si="90"/>
        <v>7</v>
      </c>
      <c r="AN422">
        <f t="shared" si="101"/>
        <v>4</v>
      </c>
      <c r="AO422">
        <f t="shared" si="102"/>
        <v>7</v>
      </c>
      <c r="AP422">
        <f t="shared" si="103"/>
        <v>0</v>
      </c>
      <c r="AQ422">
        <f t="shared" si="91"/>
        <v>0</v>
      </c>
      <c r="AR422">
        <f t="shared" si="104"/>
        <v>0</v>
      </c>
    </row>
    <row r="423" spans="1:44" x14ac:dyDescent="0.25">
      <c r="A423" t="s">
        <v>471</v>
      </c>
      <c r="B423" t="s">
        <v>5</v>
      </c>
      <c r="C423" t="s">
        <v>6</v>
      </c>
      <c r="E423" t="s">
        <v>7</v>
      </c>
      <c r="F423" t="s">
        <v>1</v>
      </c>
      <c r="G423" t="s">
        <v>2</v>
      </c>
      <c r="H423" t="s">
        <v>4</v>
      </c>
      <c r="I423" s="1" t="s">
        <v>5</v>
      </c>
      <c r="J423" s="1" t="s">
        <v>6</v>
      </c>
      <c r="K423" s="1"/>
      <c r="L423" s="1" t="s">
        <v>7</v>
      </c>
      <c r="M423" s="1" t="b">
        <v>0</v>
      </c>
      <c r="N423" s="1"/>
      <c r="O423">
        <v>0</v>
      </c>
      <c r="P423">
        <v>0</v>
      </c>
      <c r="Q423">
        <v>7</v>
      </c>
      <c r="R423" s="1">
        <f t="shared" si="92"/>
        <v>0</v>
      </c>
      <c r="S423" s="1">
        <f t="shared" si="93"/>
        <v>0</v>
      </c>
      <c r="T423" s="1">
        <f t="shared" si="94"/>
        <v>0</v>
      </c>
      <c r="U423" s="1">
        <f t="shared" si="95"/>
        <v>0</v>
      </c>
      <c r="V423" s="1">
        <f t="shared" si="96"/>
        <v>5</v>
      </c>
      <c r="W423" s="1" t="str">
        <f t="shared" si="97"/>
        <v>IBB</v>
      </c>
      <c r="X423" t="s">
        <v>149</v>
      </c>
      <c r="Y423" t="s">
        <v>149</v>
      </c>
      <c r="AJ423">
        <f t="shared" si="98"/>
        <v>101</v>
      </c>
      <c r="AK423">
        <f t="shared" si="99"/>
        <v>111</v>
      </c>
      <c r="AL423">
        <f t="shared" si="100"/>
        <v>5</v>
      </c>
      <c r="AM423">
        <f t="shared" si="90"/>
        <v>7</v>
      </c>
      <c r="AN423">
        <f t="shared" si="101"/>
        <v>5</v>
      </c>
      <c r="AO423">
        <f t="shared" si="102"/>
        <v>7</v>
      </c>
      <c r="AP423">
        <f t="shared" si="103"/>
        <v>0</v>
      </c>
      <c r="AQ423">
        <f t="shared" si="91"/>
        <v>0</v>
      </c>
      <c r="AR423">
        <f t="shared" si="104"/>
        <v>0</v>
      </c>
    </row>
    <row r="424" spans="1:44" x14ac:dyDescent="0.25">
      <c r="A424" t="s">
        <v>472</v>
      </c>
      <c r="B424" t="s">
        <v>5</v>
      </c>
      <c r="D424" t="s">
        <v>6</v>
      </c>
      <c r="E424" t="s">
        <v>7</v>
      </c>
      <c r="F424" t="s">
        <v>1</v>
      </c>
      <c r="G424" t="s">
        <v>3</v>
      </c>
      <c r="H424" t="s">
        <v>4</v>
      </c>
      <c r="I424" s="1" t="s">
        <v>5</v>
      </c>
      <c r="J424" s="1"/>
      <c r="K424" s="1" t="s">
        <v>6</v>
      </c>
      <c r="L424" s="1" t="s">
        <v>7</v>
      </c>
      <c r="M424" s="1" t="b">
        <v>0</v>
      </c>
      <c r="N424" s="1"/>
      <c r="O424">
        <v>0</v>
      </c>
      <c r="P424">
        <v>0</v>
      </c>
      <c r="Q424">
        <v>7</v>
      </c>
      <c r="R424" s="1">
        <f t="shared" si="92"/>
        <v>0</v>
      </c>
      <c r="S424" s="1">
        <f t="shared" si="93"/>
        <v>0</v>
      </c>
      <c r="T424" s="1">
        <f t="shared" si="94"/>
        <v>0</v>
      </c>
      <c r="U424" s="1">
        <f t="shared" si="95"/>
        <v>0</v>
      </c>
      <c r="V424" s="1">
        <f t="shared" si="96"/>
        <v>6</v>
      </c>
      <c r="W424" s="1" t="str">
        <f t="shared" si="97"/>
        <v>IBB</v>
      </c>
      <c r="X424" t="s">
        <v>149</v>
      </c>
      <c r="Y424" t="s">
        <v>149</v>
      </c>
      <c r="AJ424">
        <f t="shared" si="98"/>
        <v>110</v>
      </c>
      <c r="AK424">
        <f t="shared" si="99"/>
        <v>111</v>
      </c>
      <c r="AL424">
        <f t="shared" si="100"/>
        <v>6</v>
      </c>
      <c r="AM424">
        <f t="shared" si="90"/>
        <v>7</v>
      </c>
      <c r="AN424">
        <f t="shared" si="101"/>
        <v>6</v>
      </c>
      <c r="AO424">
        <f t="shared" si="102"/>
        <v>7</v>
      </c>
      <c r="AP424">
        <f t="shared" si="103"/>
        <v>0</v>
      </c>
      <c r="AQ424">
        <f t="shared" si="91"/>
        <v>0</v>
      </c>
      <c r="AR424">
        <f t="shared" si="104"/>
        <v>0</v>
      </c>
    </row>
    <row r="425" spans="1:44" x14ac:dyDescent="0.25">
      <c r="A425" t="s">
        <v>473</v>
      </c>
      <c r="B425" t="s">
        <v>5</v>
      </c>
      <c r="C425" t="s">
        <v>6</v>
      </c>
      <c r="D425" t="s">
        <v>7</v>
      </c>
      <c r="E425" t="s">
        <v>43</v>
      </c>
      <c r="F425" t="s">
        <v>1</v>
      </c>
      <c r="G425" t="s">
        <v>2</v>
      </c>
      <c r="H425" t="s">
        <v>3</v>
      </c>
      <c r="I425" s="1" t="s">
        <v>5</v>
      </c>
      <c r="J425" s="1" t="s">
        <v>6</v>
      </c>
      <c r="K425" s="1" t="s">
        <v>7</v>
      </c>
      <c r="L425" s="1" t="s">
        <v>43</v>
      </c>
      <c r="M425" s="1" t="b">
        <v>0</v>
      </c>
      <c r="N425" s="1"/>
      <c r="O425">
        <v>1</v>
      </c>
      <c r="P425">
        <v>0</v>
      </c>
      <c r="Q425">
        <v>7</v>
      </c>
      <c r="R425" s="1">
        <f t="shared" si="92"/>
        <v>1</v>
      </c>
      <c r="S425" s="1">
        <f t="shared" si="93"/>
        <v>0</v>
      </c>
      <c r="T425" s="1">
        <f t="shared" si="94"/>
        <v>0</v>
      </c>
      <c r="U425" s="1">
        <f t="shared" si="95"/>
        <v>0</v>
      </c>
      <c r="V425" s="1">
        <f t="shared" si="96"/>
        <v>7</v>
      </c>
      <c r="W425" s="1" t="str">
        <f t="shared" si="97"/>
        <v>IBB</v>
      </c>
      <c r="X425" t="s">
        <v>149</v>
      </c>
      <c r="Y425" t="s">
        <v>149</v>
      </c>
      <c r="AJ425">
        <f t="shared" si="98"/>
        <v>111</v>
      </c>
      <c r="AK425">
        <f t="shared" si="99"/>
        <v>111</v>
      </c>
      <c r="AL425">
        <f t="shared" si="100"/>
        <v>7</v>
      </c>
      <c r="AM425">
        <f t="shared" si="90"/>
        <v>7</v>
      </c>
      <c r="AN425">
        <f t="shared" si="101"/>
        <v>7</v>
      </c>
      <c r="AO425">
        <f t="shared" si="102"/>
        <v>7</v>
      </c>
      <c r="AP425">
        <f t="shared" si="103"/>
        <v>0</v>
      </c>
      <c r="AQ425">
        <f t="shared" si="91"/>
        <v>0</v>
      </c>
      <c r="AR425">
        <f t="shared" si="104"/>
        <v>0</v>
      </c>
    </row>
    <row r="426" spans="1:44" x14ac:dyDescent="0.25">
      <c r="A426" t="s">
        <v>474</v>
      </c>
      <c r="B426" t="s">
        <v>5</v>
      </c>
      <c r="F426" t="s">
        <v>1</v>
      </c>
      <c r="I426" s="1" t="s">
        <v>5</v>
      </c>
      <c r="J426" s="1"/>
      <c r="K426" s="1"/>
      <c r="L426" s="1"/>
      <c r="M426" s="1" t="b">
        <v>0</v>
      </c>
      <c r="N426" s="1"/>
      <c r="O426">
        <v>0</v>
      </c>
      <c r="P426">
        <v>1</v>
      </c>
      <c r="Q426">
        <v>1</v>
      </c>
      <c r="R426" s="1">
        <f t="shared" si="92"/>
        <v>0</v>
      </c>
      <c r="S426" s="1">
        <f t="shared" si="93"/>
        <v>1</v>
      </c>
      <c r="T426" s="1">
        <f t="shared" si="94"/>
        <v>0</v>
      </c>
      <c r="U426" s="1">
        <f t="shared" si="95"/>
        <v>1</v>
      </c>
      <c r="V426" s="1">
        <f t="shared" si="96"/>
        <v>0</v>
      </c>
      <c r="W426" s="1" t="str">
        <f t="shared" si="97"/>
        <v>IBB</v>
      </c>
      <c r="X426" t="s">
        <v>149</v>
      </c>
      <c r="Y426" t="s">
        <v>149</v>
      </c>
      <c r="AJ426">
        <f t="shared" si="98"/>
        <v>0</v>
      </c>
      <c r="AK426">
        <f t="shared" si="99"/>
        <v>1</v>
      </c>
      <c r="AL426">
        <f t="shared" si="100"/>
        <v>0</v>
      </c>
      <c r="AM426">
        <f t="shared" si="90"/>
        <v>1</v>
      </c>
      <c r="AN426">
        <f t="shared" si="101"/>
        <v>0</v>
      </c>
      <c r="AO426">
        <f t="shared" si="102"/>
        <v>1</v>
      </c>
      <c r="AP426">
        <f t="shared" si="103"/>
        <v>0</v>
      </c>
      <c r="AQ426">
        <f t="shared" si="91"/>
        <v>0</v>
      </c>
      <c r="AR426">
        <f t="shared" si="104"/>
        <v>0</v>
      </c>
    </row>
    <row r="427" spans="1:44" x14ac:dyDescent="0.25">
      <c r="A427" t="s">
        <v>475</v>
      </c>
      <c r="B427" t="s">
        <v>5</v>
      </c>
      <c r="C427" t="s">
        <v>6</v>
      </c>
      <c r="F427" t="s">
        <v>1</v>
      </c>
      <c r="G427" t="s">
        <v>2</v>
      </c>
      <c r="I427" s="1" t="s">
        <v>5</v>
      </c>
      <c r="J427" s="1" t="s">
        <v>6</v>
      </c>
      <c r="K427" s="1"/>
      <c r="L427" s="1"/>
      <c r="M427" s="1" t="b">
        <v>0</v>
      </c>
      <c r="N427" s="1"/>
      <c r="O427">
        <v>0</v>
      </c>
      <c r="P427">
        <v>1</v>
      </c>
      <c r="Q427">
        <v>4</v>
      </c>
      <c r="R427" s="1">
        <f t="shared" si="92"/>
        <v>0</v>
      </c>
      <c r="S427" s="1">
        <f t="shared" si="93"/>
        <v>1</v>
      </c>
      <c r="T427" s="1">
        <f t="shared" si="94"/>
        <v>0</v>
      </c>
      <c r="U427" s="1">
        <f t="shared" si="95"/>
        <v>1</v>
      </c>
      <c r="V427" s="1">
        <f t="shared" si="96"/>
        <v>1</v>
      </c>
      <c r="W427" s="1" t="str">
        <f t="shared" si="97"/>
        <v>IBB</v>
      </c>
      <c r="X427" t="s">
        <v>149</v>
      </c>
      <c r="Y427" t="s">
        <v>149</v>
      </c>
      <c r="AJ427">
        <f t="shared" si="98"/>
        <v>1</v>
      </c>
      <c r="AK427">
        <f t="shared" si="99"/>
        <v>11</v>
      </c>
      <c r="AL427">
        <f t="shared" si="100"/>
        <v>1</v>
      </c>
      <c r="AM427">
        <f t="shared" si="90"/>
        <v>4</v>
      </c>
      <c r="AN427">
        <f t="shared" si="101"/>
        <v>1</v>
      </c>
      <c r="AO427">
        <f t="shared" si="102"/>
        <v>4</v>
      </c>
      <c r="AP427">
        <f t="shared" si="103"/>
        <v>0</v>
      </c>
      <c r="AQ427">
        <f t="shared" si="91"/>
        <v>0</v>
      </c>
      <c r="AR427">
        <f t="shared" si="104"/>
        <v>0</v>
      </c>
    </row>
    <row r="428" spans="1:44" x14ac:dyDescent="0.25">
      <c r="A428" t="s">
        <v>476</v>
      </c>
      <c r="B428" t="s">
        <v>5</v>
      </c>
      <c r="D428" t="s">
        <v>6</v>
      </c>
      <c r="F428" t="s">
        <v>1</v>
      </c>
      <c r="G428" t="s">
        <v>3</v>
      </c>
      <c r="I428" s="1" t="s">
        <v>5</v>
      </c>
      <c r="J428" s="1"/>
      <c r="K428" s="1" t="s">
        <v>6</v>
      </c>
      <c r="L428" s="1"/>
      <c r="M428" s="1" t="b">
        <v>0</v>
      </c>
      <c r="N428" s="1"/>
      <c r="O428">
        <v>0</v>
      </c>
      <c r="P428">
        <v>1</v>
      </c>
      <c r="Q428">
        <v>4</v>
      </c>
      <c r="R428" s="1">
        <f t="shared" si="92"/>
        <v>0</v>
      </c>
      <c r="S428" s="1">
        <f t="shared" si="93"/>
        <v>1</v>
      </c>
      <c r="T428" s="1">
        <f t="shared" si="94"/>
        <v>0</v>
      </c>
      <c r="U428" s="1">
        <f t="shared" si="95"/>
        <v>1</v>
      </c>
      <c r="V428" s="1">
        <f t="shared" si="96"/>
        <v>2</v>
      </c>
      <c r="W428" s="1" t="str">
        <f t="shared" si="97"/>
        <v>IBB</v>
      </c>
      <c r="X428" t="s">
        <v>149</v>
      </c>
      <c r="Y428" t="s">
        <v>149</v>
      </c>
      <c r="AJ428">
        <f t="shared" si="98"/>
        <v>10</v>
      </c>
      <c r="AK428">
        <f t="shared" si="99"/>
        <v>11</v>
      </c>
      <c r="AL428">
        <f t="shared" si="100"/>
        <v>2</v>
      </c>
      <c r="AM428">
        <f t="shared" si="90"/>
        <v>4</v>
      </c>
      <c r="AN428">
        <f t="shared" si="101"/>
        <v>2</v>
      </c>
      <c r="AO428">
        <f t="shared" si="102"/>
        <v>4</v>
      </c>
      <c r="AP428">
        <f t="shared" si="103"/>
        <v>0</v>
      </c>
      <c r="AQ428">
        <f t="shared" si="91"/>
        <v>0</v>
      </c>
      <c r="AR428">
        <f t="shared" si="104"/>
        <v>0</v>
      </c>
    </row>
    <row r="429" spans="1:44" x14ac:dyDescent="0.25">
      <c r="A429" t="s">
        <v>477</v>
      </c>
      <c r="B429" t="s">
        <v>5</v>
      </c>
      <c r="E429" t="s">
        <v>7</v>
      </c>
      <c r="F429" t="s">
        <v>1</v>
      </c>
      <c r="H429" t="s">
        <v>4</v>
      </c>
      <c r="I429" s="1" t="s">
        <v>5</v>
      </c>
      <c r="J429" s="1"/>
      <c r="K429" s="1"/>
      <c r="L429" s="1" t="s">
        <v>7</v>
      </c>
      <c r="M429" s="1" t="b">
        <v>0</v>
      </c>
      <c r="N429" s="1"/>
      <c r="O429">
        <v>0</v>
      </c>
      <c r="P429">
        <v>1</v>
      </c>
      <c r="Q429">
        <v>5</v>
      </c>
      <c r="R429" s="1">
        <f t="shared" si="92"/>
        <v>0</v>
      </c>
      <c r="S429" s="1">
        <f t="shared" si="93"/>
        <v>1</v>
      </c>
      <c r="T429" s="1">
        <f t="shared" si="94"/>
        <v>0</v>
      </c>
      <c r="U429" s="1">
        <f t="shared" si="95"/>
        <v>1</v>
      </c>
      <c r="V429" s="1">
        <f t="shared" si="96"/>
        <v>3</v>
      </c>
      <c r="W429" s="1" t="str">
        <f t="shared" si="97"/>
        <v>IBB</v>
      </c>
      <c r="X429" t="s">
        <v>149</v>
      </c>
      <c r="Y429" t="s">
        <v>149</v>
      </c>
      <c r="AJ429">
        <f t="shared" si="98"/>
        <v>100</v>
      </c>
      <c r="AK429">
        <f t="shared" si="99"/>
        <v>101</v>
      </c>
      <c r="AL429">
        <f t="shared" si="100"/>
        <v>3</v>
      </c>
      <c r="AM429">
        <f t="shared" si="90"/>
        <v>5</v>
      </c>
      <c r="AN429">
        <f t="shared" si="101"/>
        <v>3</v>
      </c>
      <c r="AO429">
        <f t="shared" si="102"/>
        <v>5</v>
      </c>
      <c r="AP429">
        <f t="shared" si="103"/>
        <v>0</v>
      </c>
      <c r="AQ429">
        <f t="shared" si="91"/>
        <v>0</v>
      </c>
      <c r="AR429">
        <f t="shared" si="104"/>
        <v>0</v>
      </c>
    </row>
    <row r="430" spans="1:44" x14ac:dyDescent="0.25">
      <c r="A430" t="s">
        <v>478</v>
      </c>
      <c r="B430" t="s">
        <v>5</v>
      </c>
      <c r="C430" t="s">
        <v>6</v>
      </c>
      <c r="D430" t="s">
        <v>7</v>
      </c>
      <c r="F430" t="s">
        <v>1</v>
      </c>
      <c r="G430" t="s">
        <v>2</v>
      </c>
      <c r="H430" t="s">
        <v>3</v>
      </c>
      <c r="I430" s="1" t="s">
        <v>5</v>
      </c>
      <c r="J430" s="1" t="s">
        <v>6</v>
      </c>
      <c r="K430" s="1" t="s">
        <v>7</v>
      </c>
      <c r="L430" s="1"/>
      <c r="M430" s="1" t="b">
        <v>0</v>
      </c>
      <c r="N430" s="1"/>
      <c r="O430">
        <v>0</v>
      </c>
      <c r="P430">
        <v>1</v>
      </c>
      <c r="Q430">
        <v>7</v>
      </c>
      <c r="R430" s="1">
        <f t="shared" si="92"/>
        <v>0</v>
      </c>
      <c r="S430" s="1">
        <f t="shared" si="93"/>
        <v>1</v>
      </c>
      <c r="T430" s="1">
        <f t="shared" si="94"/>
        <v>0</v>
      </c>
      <c r="U430" s="1">
        <f t="shared" si="95"/>
        <v>1</v>
      </c>
      <c r="V430" s="1">
        <f t="shared" si="96"/>
        <v>4</v>
      </c>
      <c r="W430" s="1" t="str">
        <f t="shared" si="97"/>
        <v>IBB</v>
      </c>
      <c r="X430" t="s">
        <v>149</v>
      </c>
      <c r="Y430" t="s">
        <v>149</v>
      </c>
      <c r="AJ430">
        <f t="shared" si="98"/>
        <v>11</v>
      </c>
      <c r="AK430">
        <f t="shared" si="99"/>
        <v>111</v>
      </c>
      <c r="AL430">
        <f t="shared" si="100"/>
        <v>4</v>
      </c>
      <c r="AM430">
        <f t="shared" si="90"/>
        <v>7</v>
      </c>
      <c r="AN430">
        <f t="shared" si="101"/>
        <v>4</v>
      </c>
      <c r="AO430">
        <f t="shared" si="102"/>
        <v>7</v>
      </c>
      <c r="AP430">
        <f t="shared" si="103"/>
        <v>0</v>
      </c>
      <c r="AQ430">
        <f t="shared" si="91"/>
        <v>0</v>
      </c>
      <c r="AR430">
        <f t="shared" si="104"/>
        <v>0</v>
      </c>
    </row>
    <row r="431" spans="1:44" x14ac:dyDescent="0.25">
      <c r="A431" t="s">
        <v>479</v>
      </c>
      <c r="B431" t="s">
        <v>5</v>
      </c>
      <c r="C431" t="s">
        <v>6</v>
      </c>
      <c r="E431" t="s">
        <v>7</v>
      </c>
      <c r="F431" t="s">
        <v>1</v>
      </c>
      <c r="G431" t="s">
        <v>2</v>
      </c>
      <c r="H431" t="s">
        <v>4</v>
      </c>
      <c r="I431" s="1" t="s">
        <v>5</v>
      </c>
      <c r="J431" s="1" t="s">
        <v>6</v>
      </c>
      <c r="K431" s="1"/>
      <c r="L431" s="1" t="s">
        <v>7</v>
      </c>
      <c r="M431" s="1" t="b">
        <v>0</v>
      </c>
      <c r="N431" s="1"/>
      <c r="O431">
        <v>0</v>
      </c>
      <c r="P431">
        <v>1</v>
      </c>
      <c r="Q431">
        <v>7</v>
      </c>
      <c r="R431" s="1">
        <f t="shared" si="92"/>
        <v>0</v>
      </c>
      <c r="S431" s="1">
        <f t="shared" si="93"/>
        <v>1</v>
      </c>
      <c r="T431" s="1">
        <f t="shared" si="94"/>
        <v>0</v>
      </c>
      <c r="U431" s="1">
        <f t="shared" si="95"/>
        <v>1</v>
      </c>
      <c r="V431" s="1">
        <f t="shared" si="96"/>
        <v>5</v>
      </c>
      <c r="W431" s="1" t="str">
        <f t="shared" si="97"/>
        <v>IBB</v>
      </c>
      <c r="X431" t="s">
        <v>149</v>
      </c>
      <c r="Y431" t="s">
        <v>149</v>
      </c>
      <c r="AJ431">
        <f t="shared" si="98"/>
        <v>101</v>
      </c>
      <c r="AK431">
        <f t="shared" si="99"/>
        <v>111</v>
      </c>
      <c r="AL431">
        <f t="shared" si="100"/>
        <v>5</v>
      </c>
      <c r="AM431">
        <f t="shared" si="90"/>
        <v>7</v>
      </c>
      <c r="AN431">
        <f t="shared" si="101"/>
        <v>5</v>
      </c>
      <c r="AO431">
        <f t="shared" si="102"/>
        <v>7</v>
      </c>
      <c r="AP431">
        <f t="shared" si="103"/>
        <v>0</v>
      </c>
      <c r="AQ431">
        <f t="shared" si="91"/>
        <v>0</v>
      </c>
      <c r="AR431">
        <f t="shared" si="104"/>
        <v>0</v>
      </c>
    </row>
    <row r="432" spans="1:44" x14ac:dyDescent="0.25">
      <c r="A432" t="s">
        <v>480</v>
      </c>
      <c r="B432" t="s">
        <v>5</v>
      </c>
      <c r="D432" t="s">
        <v>6</v>
      </c>
      <c r="E432" t="s">
        <v>7</v>
      </c>
      <c r="F432" t="s">
        <v>1</v>
      </c>
      <c r="G432" t="s">
        <v>3</v>
      </c>
      <c r="H432" t="s">
        <v>4</v>
      </c>
      <c r="I432" s="1" t="s">
        <v>5</v>
      </c>
      <c r="J432" s="1"/>
      <c r="K432" s="1" t="s">
        <v>6</v>
      </c>
      <c r="L432" s="1" t="s">
        <v>7</v>
      </c>
      <c r="M432" s="1" t="b">
        <v>0</v>
      </c>
      <c r="N432" s="1"/>
      <c r="O432">
        <v>0</v>
      </c>
      <c r="P432">
        <v>1</v>
      </c>
      <c r="Q432">
        <v>7</v>
      </c>
      <c r="R432" s="1">
        <f t="shared" si="92"/>
        <v>0</v>
      </c>
      <c r="S432" s="1">
        <f t="shared" si="93"/>
        <v>1</v>
      </c>
      <c r="T432" s="1">
        <f t="shared" si="94"/>
        <v>0</v>
      </c>
      <c r="U432" s="1">
        <f t="shared" si="95"/>
        <v>1</v>
      </c>
      <c r="V432" s="1">
        <f t="shared" si="96"/>
        <v>6</v>
      </c>
      <c r="W432" s="1" t="str">
        <f t="shared" si="97"/>
        <v>IBB</v>
      </c>
      <c r="X432" t="s">
        <v>149</v>
      </c>
      <c r="Y432" t="s">
        <v>149</v>
      </c>
      <c r="AJ432">
        <f t="shared" si="98"/>
        <v>110</v>
      </c>
      <c r="AK432">
        <f t="shared" si="99"/>
        <v>111</v>
      </c>
      <c r="AL432">
        <f t="shared" si="100"/>
        <v>6</v>
      </c>
      <c r="AM432">
        <f t="shared" si="90"/>
        <v>7</v>
      </c>
      <c r="AN432">
        <f t="shared" si="101"/>
        <v>6</v>
      </c>
      <c r="AO432">
        <f t="shared" si="102"/>
        <v>7</v>
      </c>
      <c r="AP432">
        <f t="shared" si="103"/>
        <v>0</v>
      </c>
      <c r="AQ432">
        <f t="shared" si="91"/>
        <v>0</v>
      </c>
      <c r="AR432">
        <f t="shared" si="104"/>
        <v>0</v>
      </c>
    </row>
    <row r="433" spans="1:44" x14ac:dyDescent="0.25">
      <c r="A433" t="s">
        <v>481</v>
      </c>
      <c r="B433" t="s">
        <v>5</v>
      </c>
      <c r="C433" t="s">
        <v>6</v>
      </c>
      <c r="D433" t="s">
        <v>7</v>
      </c>
      <c r="E433" t="s">
        <v>43</v>
      </c>
      <c r="F433" t="s">
        <v>1</v>
      </c>
      <c r="G433" t="s">
        <v>2</v>
      </c>
      <c r="H433" t="s">
        <v>3</v>
      </c>
      <c r="I433" s="1" t="s">
        <v>5</v>
      </c>
      <c r="J433" s="1" t="s">
        <v>6</v>
      </c>
      <c r="K433" s="1" t="s">
        <v>7</v>
      </c>
      <c r="L433" s="1" t="s">
        <v>43</v>
      </c>
      <c r="M433" s="1" t="b">
        <v>0</v>
      </c>
      <c r="N433" s="1"/>
      <c r="O433">
        <v>1</v>
      </c>
      <c r="P433">
        <v>1</v>
      </c>
      <c r="Q433">
        <v>7</v>
      </c>
      <c r="R433" s="1">
        <f t="shared" si="92"/>
        <v>1</v>
      </c>
      <c r="S433" s="1">
        <f t="shared" si="93"/>
        <v>1</v>
      </c>
      <c r="T433" s="1">
        <f t="shared" si="94"/>
        <v>0</v>
      </c>
      <c r="U433" s="1">
        <f t="shared" si="95"/>
        <v>1</v>
      </c>
      <c r="V433" s="1">
        <f t="shared" si="96"/>
        <v>7</v>
      </c>
      <c r="W433" s="1" t="str">
        <f t="shared" si="97"/>
        <v>IBB</v>
      </c>
      <c r="X433" t="s">
        <v>149</v>
      </c>
      <c r="Y433" t="s">
        <v>149</v>
      </c>
      <c r="AJ433">
        <f t="shared" si="98"/>
        <v>111</v>
      </c>
      <c r="AK433">
        <f t="shared" si="99"/>
        <v>111</v>
      </c>
      <c r="AL433">
        <f t="shared" si="100"/>
        <v>7</v>
      </c>
      <c r="AM433">
        <f t="shared" si="90"/>
        <v>7</v>
      </c>
      <c r="AN433">
        <f t="shared" si="101"/>
        <v>7</v>
      </c>
      <c r="AO433">
        <f t="shared" si="102"/>
        <v>7</v>
      </c>
      <c r="AP433">
        <f t="shared" si="103"/>
        <v>0</v>
      </c>
      <c r="AQ433">
        <f t="shared" si="91"/>
        <v>0</v>
      </c>
      <c r="AR433">
        <f t="shared" si="104"/>
        <v>0</v>
      </c>
    </row>
    <row r="434" spans="1:44" x14ac:dyDescent="0.25">
      <c r="A434" t="s">
        <v>482</v>
      </c>
      <c r="B434" t="s">
        <v>5</v>
      </c>
      <c r="F434" t="s">
        <v>1</v>
      </c>
      <c r="I434" s="1" t="s">
        <v>5</v>
      </c>
      <c r="J434" s="1"/>
      <c r="K434" s="1"/>
      <c r="L434" s="1"/>
      <c r="M434" s="1" t="b">
        <v>0</v>
      </c>
      <c r="N434" s="1"/>
      <c r="O434">
        <v>0</v>
      </c>
      <c r="P434">
        <v>2</v>
      </c>
      <c r="Q434">
        <v>1</v>
      </c>
      <c r="R434" s="1">
        <f t="shared" si="92"/>
        <v>0</v>
      </c>
      <c r="S434" s="1">
        <f t="shared" si="93"/>
        <v>2</v>
      </c>
      <c r="T434" s="1">
        <f t="shared" si="94"/>
        <v>0</v>
      </c>
      <c r="U434" s="1">
        <f t="shared" si="95"/>
        <v>2</v>
      </c>
      <c r="V434" s="1">
        <f t="shared" si="96"/>
        <v>0</v>
      </c>
      <c r="W434" s="1" t="str">
        <f t="shared" si="97"/>
        <v>IBB</v>
      </c>
      <c r="X434" t="s">
        <v>149</v>
      </c>
      <c r="Y434" t="s">
        <v>149</v>
      </c>
      <c r="AJ434">
        <f t="shared" si="98"/>
        <v>0</v>
      </c>
      <c r="AK434">
        <f t="shared" si="99"/>
        <v>1</v>
      </c>
      <c r="AL434">
        <f t="shared" si="100"/>
        <v>0</v>
      </c>
      <c r="AM434">
        <f t="shared" si="90"/>
        <v>1</v>
      </c>
      <c r="AN434">
        <f t="shared" si="101"/>
        <v>0</v>
      </c>
      <c r="AO434">
        <f t="shared" si="102"/>
        <v>1</v>
      </c>
      <c r="AP434">
        <f t="shared" si="103"/>
        <v>0</v>
      </c>
      <c r="AQ434">
        <f t="shared" si="91"/>
        <v>0</v>
      </c>
      <c r="AR434">
        <f t="shared" si="104"/>
        <v>0</v>
      </c>
    </row>
    <row r="435" spans="1:44" x14ac:dyDescent="0.25">
      <c r="A435" t="s">
        <v>483</v>
      </c>
      <c r="B435" t="s">
        <v>5</v>
      </c>
      <c r="C435" t="s">
        <v>6</v>
      </c>
      <c r="F435" t="s">
        <v>1</v>
      </c>
      <c r="G435" t="s">
        <v>2</v>
      </c>
      <c r="I435" s="1" t="s">
        <v>5</v>
      </c>
      <c r="J435" s="1" t="s">
        <v>6</v>
      </c>
      <c r="K435" s="1"/>
      <c r="L435" s="1"/>
      <c r="M435" s="1" t="b">
        <v>0</v>
      </c>
      <c r="N435" s="1"/>
      <c r="O435">
        <v>0</v>
      </c>
      <c r="P435">
        <v>2</v>
      </c>
      <c r="Q435">
        <v>4</v>
      </c>
      <c r="R435" s="1">
        <f t="shared" si="92"/>
        <v>0</v>
      </c>
      <c r="S435" s="1">
        <f t="shared" si="93"/>
        <v>2</v>
      </c>
      <c r="T435" s="1">
        <f t="shared" si="94"/>
        <v>0</v>
      </c>
      <c r="U435" s="1">
        <f t="shared" si="95"/>
        <v>2</v>
      </c>
      <c r="V435" s="1">
        <f t="shared" si="96"/>
        <v>1</v>
      </c>
      <c r="W435" s="1" t="str">
        <f t="shared" si="97"/>
        <v>IBB</v>
      </c>
      <c r="X435" t="s">
        <v>149</v>
      </c>
      <c r="Y435" t="s">
        <v>149</v>
      </c>
      <c r="AJ435">
        <f t="shared" si="98"/>
        <v>1</v>
      </c>
      <c r="AK435">
        <f t="shared" si="99"/>
        <v>11</v>
      </c>
      <c r="AL435">
        <f t="shared" si="100"/>
        <v>1</v>
      </c>
      <c r="AM435">
        <f t="shared" si="90"/>
        <v>4</v>
      </c>
      <c r="AN435">
        <f t="shared" si="101"/>
        <v>1</v>
      </c>
      <c r="AO435">
        <f t="shared" si="102"/>
        <v>4</v>
      </c>
      <c r="AP435">
        <f t="shared" si="103"/>
        <v>0</v>
      </c>
      <c r="AQ435">
        <f t="shared" si="91"/>
        <v>0</v>
      </c>
      <c r="AR435">
        <f t="shared" si="104"/>
        <v>0</v>
      </c>
    </row>
    <row r="436" spans="1:44" x14ac:dyDescent="0.25">
      <c r="A436" t="s">
        <v>484</v>
      </c>
      <c r="B436" t="s">
        <v>5</v>
      </c>
      <c r="D436" t="s">
        <v>6</v>
      </c>
      <c r="F436" t="s">
        <v>1</v>
      </c>
      <c r="G436" t="s">
        <v>3</v>
      </c>
      <c r="I436" s="1" t="s">
        <v>5</v>
      </c>
      <c r="J436" s="1"/>
      <c r="K436" s="1" t="s">
        <v>6</v>
      </c>
      <c r="L436" s="1"/>
      <c r="M436" s="1" t="b">
        <v>0</v>
      </c>
      <c r="N436" s="1"/>
      <c r="O436">
        <v>0</v>
      </c>
      <c r="P436">
        <v>2</v>
      </c>
      <c r="Q436">
        <v>4</v>
      </c>
      <c r="R436" s="1">
        <f t="shared" si="92"/>
        <v>0</v>
      </c>
      <c r="S436" s="1">
        <f t="shared" si="93"/>
        <v>2</v>
      </c>
      <c r="T436" s="1">
        <f t="shared" si="94"/>
        <v>0</v>
      </c>
      <c r="U436" s="1">
        <f t="shared" si="95"/>
        <v>2</v>
      </c>
      <c r="V436" s="1">
        <f t="shared" si="96"/>
        <v>2</v>
      </c>
      <c r="W436" s="1" t="str">
        <f t="shared" si="97"/>
        <v>IBB</v>
      </c>
      <c r="X436" t="s">
        <v>149</v>
      </c>
      <c r="Y436" t="s">
        <v>149</v>
      </c>
      <c r="AJ436">
        <f t="shared" si="98"/>
        <v>10</v>
      </c>
      <c r="AK436">
        <f t="shared" si="99"/>
        <v>11</v>
      </c>
      <c r="AL436">
        <f t="shared" si="100"/>
        <v>2</v>
      </c>
      <c r="AM436">
        <f t="shared" si="90"/>
        <v>4</v>
      </c>
      <c r="AN436">
        <f t="shared" si="101"/>
        <v>2</v>
      </c>
      <c r="AO436">
        <f t="shared" si="102"/>
        <v>4</v>
      </c>
      <c r="AP436">
        <f t="shared" si="103"/>
        <v>0</v>
      </c>
      <c r="AQ436">
        <f t="shared" si="91"/>
        <v>0</v>
      </c>
      <c r="AR436">
        <f t="shared" si="104"/>
        <v>0</v>
      </c>
    </row>
    <row r="437" spans="1:44" x14ac:dyDescent="0.25">
      <c r="A437" t="s">
        <v>485</v>
      </c>
      <c r="B437" t="s">
        <v>5</v>
      </c>
      <c r="E437" t="s">
        <v>7</v>
      </c>
      <c r="F437" t="s">
        <v>1</v>
      </c>
      <c r="H437" t="s">
        <v>4</v>
      </c>
      <c r="I437" s="1" t="s">
        <v>5</v>
      </c>
      <c r="J437" s="1"/>
      <c r="K437" s="1"/>
      <c r="L437" s="1" t="s">
        <v>7</v>
      </c>
      <c r="M437" s="1" t="b">
        <v>0</v>
      </c>
      <c r="N437" s="1"/>
      <c r="O437">
        <v>0</v>
      </c>
      <c r="P437">
        <v>2</v>
      </c>
      <c r="Q437">
        <v>5</v>
      </c>
      <c r="R437" s="1">
        <f t="shared" si="92"/>
        <v>0</v>
      </c>
      <c r="S437" s="1">
        <f t="shared" si="93"/>
        <v>2</v>
      </c>
      <c r="T437" s="1">
        <f t="shared" si="94"/>
        <v>0</v>
      </c>
      <c r="U437" s="1">
        <f t="shared" si="95"/>
        <v>2</v>
      </c>
      <c r="V437" s="1">
        <f t="shared" si="96"/>
        <v>3</v>
      </c>
      <c r="W437" s="1" t="str">
        <f t="shared" si="97"/>
        <v>IBB</v>
      </c>
      <c r="X437" t="s">
        <v>149</v>
      </c>
      <c r="Y437" t="s">
        <v>149</v>
      </c>
      <c r="AJ437">
        <f t="shared" si="98"/>
        <v>100</v>
      </c>
      <c r="AK437">
        <f t="shared" si="99"/>
        <v>101</v>
      </c>
      <c r="AL437">
        <f t="shared" si="100"/>
        <v>3</v>
      </c>
      <c r="AM437">
        <f t="shared" si="90"/>
        <v>5</v>
      </c>
      <c r="AN437">
        <f t="shared" si="101"/>
        <v>3</v>
      </c>
      <c r="AO437">
        <f t="shared" si="102"/>
        <v>5</v>
      </c>
      <c r="AP437">
        <f t="shared" si="103"/>
        <v>0</v>
      </c>
      <c r="AQ437">
        <f t="shared" si="91"/>
        <v>0</v>
      </c>
      <c r="AR437">
        <f t="shared" si="104"/>
        <v>0</v>
      </c>
    </row>
    <row r="438" spans="1:44" x14ac:dyDescent="0.25">
      <c r="A438" t="s">
        <v>486</v>
      </c>
      <c r="B438" t="s">
        <v>5</v>
      </c>
      <c r="C438" t="s">
        <v>6</v>
      </c>
      <c r="D438" t="s">
        <v>7</v>
      </c>
      <c r="F438" t="s">
        <v>1</v>
      </c>
      <c r="G438" t="s">
        <v>2</v>
      </c>
      <c r="H438" t="s">
        <v>3</v>
      </c>
      <c r="I438" s="1" t="s">
        <v>5</v>
      </c>
      <c r="J438" s="1" t="s">
        <v>6</v>
      </c>
      <c r="K438" s="1" t="s">
        <v>7</v>
      </c>
      <c r="L438" s="1"/>
      <c r="M438" s="1" t="b">
        <v>0</v>
      </c>
      <c r="N438" s="1"/>
      <c r="O438">
        <v>0</v>
      </c>
      <c r="P438">
        <v>2</v>
      </c>
      <c r="Q438">
        <v>7</v>
      </c>
      <c r="R438" s="1">
        <f t="shared" si="92"/>
        <v>0</v>
      </c>
      <c r="S438" s="1">
        <f t="shared" si="93"/>
        <v>2</v>
      </c>
      <c r="T438" s="1">
        <f t="shared" si="94"/>
        <v>0</v>
      </c>
      <c r="U438" s="1">
        <f t="shared" si="95"/>
        <v>2</v>
      </c>
      <c r="V438" s="1">
        <f t="shared" si="96"/>
        <v>4</v>
      </c>
      <c r="W438" s="1" t="str">
        <f t="shared" si="97"/>
        <v>IBB</v>
      </c>
      <c r="X438" t="s">
        <v>149</v>
      </c>
      <c r="Y438" t="s">
        <v>149</v>
      </c>
      <c r="AJ438">
        <f t="shared" si="98"/>
        <v>11</v>
      </c>
      <c r="AK438">
        <f t="shared" si="99"/>
        <v>111</v>
      </c>
      <c r="AL438">
        <f t="shared" si="100"/>
        <v>4</v>
      </c>
      <c r="AM438">
        <f t="shared" si="90"/>
        <v>7</v>
      </c>
      <c r="AN438">
        <f t="shared" si="101"/>
        <v>4</v>
      </c>
      <c r="AO438">
        <f t="shared" si="102"/>
        <v>7</v>
      </c>
      <c r="AP438">
        <f t="shared" si="103"/>
        <v>0</v>
      </c>
      <c r="AQ438">
        <f t="shared" si="91"/>
        <v>0</v>
      </c>
      <c r="AR438">
        <f t="shared" si="104"/>
        <v>0</v>
      </c>
    </row>
    <row r="439" spans="1:44" x14ac:dyDescent="0.25">
      <c r="A439" t="s">
        <v>487</v>
      </c>
      <c r="B439" t="s">
        <v>5</v>
      </c>
      <c r="C439" t="s">
        <v>6</v>
      </c>
      <c r="E439" t="s">
        <v>7</v>
      </c>
      <c r="F439" t="s">
        <v>1</v>
      </c>
      <c r="G439" t="s">
        <v>2</v>
      </c>
      <c r="H439" t="s">
        <v>4</v>
      </c>
      <c r="I439" s="1" t="s">
        <v>5</v>
      </c>
      <c r="J439" s="1" t="s">
        <v>6</v>
      </c>
      <c r="K439" s="1"/>
      <c r="L439" s="1" t="s">
        <v>7</v>
      </c>
      <c r="M439" s="1" t="b">
        <v>0</v>
      </c>
      <c r="N439" s="1"/>
      <c r="O439">
        <v>0</v>
      </c>
      <c r="P439">
        <v>2</v>
      </c>
      <c r="Q439">
        <v>7</v>
      </c>
      <c r="R439" s="1">
        <f t="shared" si="92"/>
        <v>0</v>
      </c>
      <c r="S439" s="1">
        <f t="shared" si="93"/>
        <v>2</v>
      </c>
      <c r="T439" s="1">
        <f t="shared" si="94"/>
        <v>0</v>
      </c>
      <c r="U439" s="1">
        <f t="shared" si="95"/>
        <v>2</v>
      </c>
      <c r="V439" s="1">
        <f t="shared" si="96"/>
        <v>5</v>
      </c>
      <c r="W439" s="1" t="str">
        <f t="shared" si="97"/>
        <v>IBB</v>
      </c>
      <c r="X439" t="s">
        <v>149</v>
      </c>
      <c r="Y439" t="s">
        <v>149</v>
      </c>
      <c r="AJ439">
        <f t="shared" si="98"/>
        <v>101</v>
      </c>
      <c r="AK439">
        <f t="shared" si="99"/>
        <v>111</v>
      </c>
      <c r="AL439">
        <f t="shared" si="100"/>
        <v>5</v>
      </c>
      <c r="AM439">
        <f t="shared" si="90"/>
        <v>7</v>
      </c>
      <c r="AN439">
        <f t="shared" si="101"/>
        <v>5</v>
      </c>
      <c r="AO439">
        <f t="shared" si="102"/>
        <v>7</v>
      </c>
      <c r="AP439">
        <f t="shared" si="103"/>
        <v>0</v>
      </c>
      <c r="AQ439">
        <f t="shared" si="91"/>
        <v>0</v>
      </c>
      <c r="AR439">
        <f t="shared" si="104"/>
        <v>0</v>
      </c>
    </row>
    <row r="440" spans="1:44" x14ac:dyDescent="0.25">
      <c r="A440" t="s">
        <v>488</v>
      </c>
      <c r="B440" t="s">
        <v>5</v>
      </c>
      <c r="D440" t="s">
        <v>6</v>
      </c>
      <c r="E440" t="s">
        <v>7</v>
      </c>
      <c r="F440" t="s">
        <v>1</v>
      </c>
      <c r="G440" t="s">
        <v>3</v>
      </c>
      <c r="H440" t="s">
        <v>4</v>
      </c>
      <c r="I440" s="1" t="s">
        <v>5</v>
      </c>
      <c r="J440" s="1"/>
      <c r="K440" s="1" t="s">
        <v>6</v>
      </c>
      <c r="L440" s="1" t="s">
        <v>7</v>
      </c>
      <c r="M440" s="1" t="b">
        <v>0</v>
      </c>
      <c r="N440" s="1"/>
      <c r="O440">
        <v>0</v>
      </c>
      <c r="P440">
        <v>2</v>
      </c>
      <c r="Q440">
        <v>7</v>
      </c>
      <c r="R440" s="1">
        <f t="shared" si="92"/>
        <v>0</v>
      </c>
      <c r="S440" s="1">
        <f t="shared" si="93"/>
        <v>2</v>
      </c>
      <c r="T440" s="1">
        <f t="shared" si="94"/>
        <v>0</v>
      </c>
      <c r="U440" s="1">
        <f t="shared" si="95"/>
        <v>2</v>
      </c>
      <c r="V440" s="1">
        <f t="shared" si="96"/>
        <v>6</v>
      </c>
      <c r="W440" s="1" t="str">
        <f t="shared" si="97"/>
        <v>IBB</v>
      </c>
      <c r="X440" t="s">
        <v>149</v>
      </c>
      <c r="Y440" t="s">
        <v>149</v>
      </c>
      <c r="AJ440">
        <f t="shared" si="98"/>
        <v>110</v>
      </c>
      <c r="AK440">
        <f t="shared" si="99"/>
        <v>111</v>
      </c>
      <c r="AL440">
        <f t="shared" si="100"/>
        <v>6</v>
      </c>
      <c r="AM440">
        <f t="shared" si="90"/>
        <v>7</v>
      </c>
      <c r="AN440">
        <f t="shared" si="101"/>
        <v>6</v>
      </c>
      <c r="AO440">
        <f t="shared" si="102"/>
        <v>7</v>
      </c>
      <c r="AP440">
        <f t="shared" si="103"/>
        <v>0</v>
      </c>
      <c r="AQ440">
        <f t="shared" si="91"/>
        <v>0</v>
      </c>
      <c r="AR440">
        <f t="shared" si="104"/>
        <v>0</v>
      </c>
    </row>
    <row r="441" spans="1:44" x14ac:dyDescent="0.25">
      <c r="A441" t="s">
        <v>489</v>
      </c>
      <c r="B441" t="s">
        <v>5</v>
      </c>
      <c r="C441" t="s">
        <v>6</v>
      </c>
      <c r="D441" t="s">
        <v>7</v>
      </c>
      <c r="E441" t="s">
        <v>43</v>
      </c>
      <c r="F441" t="s">
        <v>1</v>
      </c>
      <c r="G441" t="s">
        <v>2</v>
      </c>
      <c r="H441" t="s">
        <v>3</v>
      </c>
      <c r="I441" s="1" t="s">
        <v>5</v>
      </c>
      <c r="J441" s="1" t="s">
        <v>6</v>
      </c>
      <c r="K441" s="1" t="s">
        <v>7</v>
      </c>
      <c r="L441" s="1" t="s">
        <v>43</v>
      </c>
      <c r="M441" s="1" t="b">
        <v>0</v>
      </c>
      <c r="N441" s="1"/>
      <c r="O441">
        <v>1</v>
      </c>
      <c r="P441">
        <v>2</v>
      </c>
      <c r="Q441">
        <v>7</v>
      </c>
      <c r="R441" s="1">
        <f t="shared" si="92"/>
        <v>1</v>
      </c>
      <c r="S441" s="1">
        <f t="shared" si="93"/>
        <v>2</v>
      </c>
      <c r="T441" s="1">
        <f t="shared" si="94"/>
        <v>0</v>
      </c>
      <c r="U441" s="1">
        <f t="shared" si="95"/>
        <v>2</v>
      </c>
      <c r="V441" s="1">
        <f t="shared" si="96"/>
        <v>7</v>
      </c>
      <c r="W441" s="1" t="str">
        <f t="shared" si="97"/>
        <v>IBB</v>
      </c>
      <c r="X441" t="s">
        <v>149</v>
      </c>
      <c r="Y441" t="s">
        <v>149</v>
      </c>
      <c r="AJ441">
        <f t="shared" si="98"/>
        <v>111</v>
      </c>
      <c r="AK441">
        <f t="shared" si="99"/>
        <v>111</v>
      </c>
      <c r="AL441">
        <f t="shared" si="100"/>
        <v>7</v>
      </c>
      <c r="AM441">
        <f t="shared" si="90"/>
        <v>7</v>
      </c>
      <c r="AN441">
        <f t="shared" si="101"/>
        <v>7</v>
      </c>
      <c r="AO441">
        <f t="shared" si="102"/>
        <v>7</v>
      </c>
      <c r="AP441">
        <f t="shared" si="103"/>
        <v>0</v>
      </c>
      <c r="AQ441">
        <f t="shared" si="91"/>
        <v>0</v>
      </c>
      <c r="AR441">
        <f t="shared" si="104"/>
        <v>0</v>
      </c>
    </row>
    <row r="442" spans="1:44" x14ac:dyDescent="0.25">
      <c r="A442" t="s">
        <v>490</v>
      </c>
      <c r="B442" t="s">
        <v>5</v>
      </c>
      <c r="F442" t="s">
        <v>1</v>
      </c>
      <c r="I442" s="1" t="s">
        <v>5</v>
      </c>
      <c r="J442" s="1"/>
      <c r="K442" s="1"/>
      <c r="L442" s="1"/>
      <c r="M442" s="1" t="b">
        <v>0</v>
      </c>
      <c r="N442" s="1"/>
      <c r="O442">
        <v>0</v>
      </c>
      <c r="P442">
        <v>0</v>
      </c>
      <c r="Q442">
        <v>1</v>
      </c>
      <c r="R442" s="1">
        <f t="shared" si="92"/>
        <v>0</v>
      </c>
      <c r="S442" s="1">
        <f t="shared" si="93"/>
        <v>0</v>
      </c>
      <c r="T442" s="1">
        <f t="shared" si="94"/>
        <v>0</v>
      </c>
      <c r="U442" s="1">
        <f t="shared" si="95"/>
        <v>0</v>
      </c>
      <c r="V442" s="1">
        <f t="shared" si="96"/>
        <v>0</v>
      </c>
      <c r="W442" s="1" t="str">
        <f t="shared" si="97"/>
        <v>IF1B</v>
      </c>
      <c r="X442" t="s">
        <v>39</v>
      </c>
      <c r="Y442" t="s">
        <v>39</v>
      </c>
      <c r="AJ442">
        <f t="shared" si="98"/>
        <v>0</v>
      </c>
      <c r="AK442">
        <f t="shared" si="99"/>
        <v>1</v>
      </c>
      <c r="AL442">
        <f t="shared" si="100"/>
        <v>0</v>
      </c>
      <c r="AM442">
        <f t="shared" si="90"/>
        <v>1</v>
      </c>
      <c r="AN442">
        <f t="shared" si="101"/>
        <v>0</v>
      </c>
      <c r="AO442">
        <f t="shared" si="102"/>
        <v>1</v>
      </c>
      <c r="AP442">
        <f t="shared" si="103"/>
        <v>0</v>
      </c>
      <c r="AQ442">
        <f t="shared" si="91"/>
        <v>0</v>
      </c>
      <c r="AR442">
        <f t="shared" si="104"/>
        <v>0</v>
      </c>
    </row>
    <row r="443" spans="1:44" x14ac:dyDescent="0.25">
      <c r="A443" t="s">
        <v>491</v>
      </c>
      <c r="B443" t="s">
        <v>5</v>
      </c>
      <c r="C443" t="s">
        <v>6</v>
      </c>
      <c r="F443" t="s">
        <v>1</v>
      </c>
      <c r="G443" t="s">
        <v>2</v>
      </c>
      <c r="I443" s="1" t="s">
        <v>5</v>
      </c>
      <c r="J443" s="1" t="s">
        <v>6</v>
      </c>
      <c r="K443" s="1"/>
      <c r="L443" s="1"/>
      <c r="M443" s="1" t="b">
        <v>0</v>
      </c>
      <c r="N443" s="1"/>
      <c r="O443">
        <v>0</v>
      </c>
      <c r="P443">
        <v>0</v>
      </c>
      <c r="Q443">
        <v>4</v>
      </c>
      <c r="R443" s="1">
        <f t="shared" si="92"/>
        <v>0</v>
      </c>
      <c r="S443" s="1">
        <f t="shared" si="93"/>
        <v>0</v>
      </c>
      <c r="T443" s="1">
        <f t="shared" si="94"/>
        <v>0</v>
      </c>
      <c r="U443" s="1">
        <f t="shared" si="95"/>
        <v>0</v>
      </c>
      <c r="V443" s="1">
        <f t="shared" si="96"/>
        <v>1</v>
      </c>
      <c r="W443" s="1" t="str">
        <f t="shared" si="97"/>
        <v>IF1B</v>
      </c>
      <c r="X443" t="s">
        <v>39</v>
      </c>
      <c r="Y443" t="s">
        <v>39</v>
      </c>
      <c r="AJ443">
        <f t="shared" si="98"/>
        <v>1</v>
      </c>
      <c r="AK443">
        <f t="shared" si="99"/>
        <v>11</v>
      </c>
      <c r="AL443">
        <f t="shared" si="100"/>
        <v>1</v>
      </c>
      <c r="AM443">
        <f t="shared" si="90"/>
        <v>4</v>
      </c>
      <c r="AN443">
        <f t="shared" si="101"/>
        <v>1</v>
      </c>
      <c r="AO443">
        <f t="shared" si="102"/>
        <v>4</v>
      </c>
      <c r="AP443">
        <f t="shared" si="103"/>
        <v>0</v>
      </c>
      <c r="AQ443">
        <f t="shared" si="91"/>
        <v>0</v>
      </c>
      <c r="AR443">
        <f t="shared" si="104"/>
        <v>0</v>
      </c>
    </row>
    <row r="444" spans="1:44" x14ac:dyDescent="0.25">
      <c r="A444" t="s">
        <v>492</v>
      </c>
      <c r="B444" t="s">
        <v>5</v>
      </c>
      <c r="D444" t="s">
        <v>6</v>
      </c>
      <c r="F444" t="s">
        <v>1</v>
      </c>
      <c r="G444" t="s">
        <v>3</v>
      </c>
      <c r="I444" s="1" t="s">
        <v>5</v>
      </c>
      <c r="J444" s="1"/>
      <c r="K444" s="1" t="s">
        <v>6</v>
      </c>
      <c r="L444" s="1"/>
      <c r="M444" s="1" t="b">
        <v>0</v>
      </c>
      <c r="N444" s="1"/>
      <c r="O444">
        <v>0</v>
      </c>
      <c r="P444">
        <v>0</v>
      </c>
      <c r="Q444">
        <v>4</v>
      </c>
      <c r="R444" s="1">
        <f t="shared" si="92"/>
        <v>0</v>
      </c>
      <c r="S444" s="1">
        <f t="shared" si="93"/>
        <v>0</v>
      </c>
      <c r="T444" s="1">
        <f t="shared" si="94"/>
        <v>0</v>
      </c>
      <c r="U444" s="1">
        <f t="shared" si="95"/>
        <v>0</v>
      </c>
      <c r="V444" s="1">
        <f t="shared" si="96"/>
        <v>2</v>
      </c>
      <c r="W444" s="1" t="str">
        <f t="shared" si="97"/>
        <v>IF1B</v>
      </c>
      <c r="X444" t="s">
        <v>39</v>
      </c>
      <c r="Y444" t="s">
        <v>39</v>
      </c>
      <c r="AJ444">
        <f t="shared" si="98"/>
        <v>10</v>
      </c>
      <c r="AK444">
        <f t="shared" si="99"/>
        <v>11</v>
      </c>
      <c r="AL444">
        <f t="shared" si="100"/>
        <v>2</v>
      </c>
      <c r="AM444">
        <f t="shared" si="90"/>
        <v>4</v>
      </c>
      <c r="AN444">
        <f t="shared" si="101"/>
        <v>2</v>
      </c>
      <c r="AO444">
        <f t="shared" si="102"/>
        <v>4</v>
      </c>
      <c r="AP444">
        <f t="shared" si="103"/>
        <v>0</v>
      </c>
      <c r="AQ444">
        <f t="shared" si="91"/>
        <v>0</v>
      </c>
      <c r="AR444">
        <f t="shared" si="104"/>
        <v>0</v>
      </c>
    </row>
    <row r="445" spans="1:44" x14ac:dyDescent="0.25">
      <c r="A445" t="s">
        <v>493</v>
      </c>
      <c r="B445" t="s">
        <v>5</v>
      </c>
      <c r="E445" t="s">
        <v>7</v>
      </c>
      <c r="F445" t="s">
        <v>1</v>
      </c>
      <c r="H445" t="s">
        <v>4</v>
      </c>
      <c r="I445" s="1" t="s">
        <v>5</v>
      </c>
      <c r="J445" s="1"/>
      <c r="K445" s="1"/>
      <c r="L445" s="1" t="s">
        <v>7</v>
      </c>
      <c r="M445" s="1" t="b">
        <v>0</v>
      </c>
      <c r="N445" s="1"/>
      <c r="O445">
        <v>0</v>
      </c>
      <c r="P445">
        <v>0</v>
      </c>
      <c r="Q445">
        <v>5</v>
      </c>
      <c r="R445" s="1">
        <f t="shared" si="92"/>
        <v>0</v>
      </c>
      <c r="S445" s="1">
        <f t="shared" si="93"/>
        <v>0</v>
      </c>
      <c r="T445" s="1">
        <f t="shared" si="94"/>
        <v>0</v>
      </c>
      <c r="U445" s="1">
        <f t="shared" si="95"/>
        <v>0</v>
      </c>
      <c r="V445" s="1">
        <f t="shared" si="96"/>
        <v>3</v>
      </c>
      <c r="W445" s="1" t="str">
        <f t="shared" si="97"/>
        <v>IF1B</v>
      </c>
      <c r="X445" t="s">
        <v>39</v>
      </c>
      <c r="Y445" t="s">
        <v>39</v>
      </c>
      <c r="AJ445">
        <f t="shared" si="98"/>
        <v>100</v>
      </c>
      <c r="AK445">
        <f t="shared" si="99"/>
        <v>101</v>
      </c>
      <c r="AL445">
        <f t="shared" si="100"/>
        <v>3</v>
      </c>
      <c r="AM445">
        <f t="shared" si="90"/>
        <v>5</v>
      </c>
      <c r="AN445">
        <f t="shared" si="101"/>
        <v>3</v>
      </c>
      <c r="AO445">
        <f t="shared" si="102"/>
        <v>5</v>
      </c>
      <c r="AP445">
        <f t="shared" si="103"/>
        <v>0</v>
      </c>
      <c r="AQ445">
        <f t="shared" si="91"/>
        <v>0</v>
      </c>
      <c r="AR445">
        <f t="shared" si="104"/>
        <v>0</v>
      </c>
    </row>
    <row r="446" spans="1:44" x14ac:dyDescent="0.25">
      <c r="A446" t="s">
        <v>494</v>
      </c>
      <c r="B446" t="s">
        <v>5</v>
      </c>
      <c r="C446" t="s">
        <v>6</v>
      </c>
      <c r="D446" t="s">
        <v>7</v>
      </c>
      <c r="F446" t="s">
        <v>1</v>
      </c>
      <c r="G446" t="s">
        <v>2</v>
      </c>
      <c r="H446" t="s">
        <v>3</v>
      </c>
      <c r="I446" s="1" t="s">
        <v>5</v>
      </c>
      <c r="J446" s="1" t="s">
        <v>6</v>
      </c>
      <c r="K446" s="1" t="s">
        <v>7</v>
      </c>
      <c r="L446" s="1"/>
      <c r="M446" s="1" t="b">
        <v>0</v>
      </c>
      <c r="N446" s="1"/>
      <c r="O446">
        <v>0</v>
      </c>
      <c r="P446">
        <v>0</v>
      </c>
      <c r="Q446">
        <v>7</v>
      </c>
      <c r="R446" s="1">
        <f t="shared" si="92"/>
        <v>0</v>
      </c>
      <c r="S446" s="1">
        <f t="shared" si="93"/>
        <v>0</v>
      </c>
      <c r="T446" s="1">
        <f t="shared" si="94"/>
        <v>0</v>
      </c>
      <c r="U446" s="1">
        <f t="shared" si="95"/>
        <v>0</v>
      </c>
      <c r="V446" s="1">
        <f t="shared" si="96"/>
        <v>4</v>
      </c>
      <c r="W446" s="1" t="str">
        <f t="shared" si="97"/>
        <v>IF1B</v>
      </c>
      <c r="X446" t="s">
        <v>39</v>
      </c>
      <c r="Y446" t="s">
        <v>39</v>
      </c>
      <c r="AJ446">
        <f t="shared" si="98"/>
        <v>11</v>
      </c>
      <c r="AK446">
        <f t="shared" si="99"/>
        <v>111</v>
      </c>
      <c r="AL446">
        <f t="shared" si="100"/>
        <v>4</v>
      </c>
      <c r="AM446">
        <f t="shared" si="90"/>
        <v>7</v>
      </c>
      <c r="AN446">
        <f t="shared" si="101"/>
        <v>4</v>
      </c>
      <c r="AO446">
        <f t="shared" si="102"/>
        <v>7</v>
      </c>
      <c r="AP446">
        <f t="shared" si="103"/>
        <v>0</v>
      </c>
      <c r="AQ446">
        <f t="shared" si="91"/>
        <v>0</v>
      </c>
      <c r="AR446">
        <f t="shared" si="104"/>
        <v>0</v>
      </c>
    </row>
    <row r="447" spans="1:44" x14ac:dyDescent="0.25">
      <c r="A447" t="s">
        <v>495</v>
      </c>
      <c r="B447" t="s">
        <v>5</v>
      </c>
      <c r="C447" t="s">
        <v>6</v>
      </c>
      <c r="E447" t="s">
        <v>7</v>
      </c>
      <c r="F447" t="s">
        <v>1</v>
      </c>
      <c r="G447" t="s">
        <v>2</v>
      </c>
      <c r="H447" t="s">
        <v>4</v>
      </c>
      <c r="I447" s="1" t="s">
        <v>5</v>
      </c>
      <c r="J447" s="1" t="s">
        <v>6</v>
      </c>
      <c r="K447" s="1"/>
      <c r="L447" s="1" t="s">
        <v>7</v>
      </c>
      <c r="M447" s="1" t="b">
        <v>0</v>
      </c>
      <c r="N447" s="1"/>
      <c r="O447">
        <v>0</v>
      </c>
      <c r="P447">
        <v>0</v>
      </c>
      <c r="Q447">
        <v>7</v>
      </c>
      <c r="R447" s="1">
        <f t="shared" si="92"/>
        <v>0</v>
      </c>
      <c r="S447" s="1">
        <f t="shared" si="93"/>
        <v>0</v>
      </c>
      <c r="T447" s="1">
        <f t="shared" si="94"/>
        <v>0</v>
      </c>
      <c r="U447" s="1">
        <f t="shared" si="95"/>
        <v>0</v>
      </c>
      <c r="V447" s="1">
        <f t="shared" si="96"/>
        <v>5</v>
      </c>
      <c r="W447" s="1" t="str">
        <f t="shared" si="97"/>
        <v>IF1B</v>
      </c>
      <c r="X447" t="s">
        <v>39</v>
      </c>
      <c r="Y447" t="s">
        <v>39</v>
      </c>
      <c r="AJ447">
        <f t="shared" si="98"/>
        <v>101</v>
      </c>
      <c r="AK447">
        <f t="shared" si="99"/>
        <v>111</v>
      </c>
      <c r="AL447">
        <f t="shared" si="100"/>
        <v>5</v>
      </c>
      <c r="AM447">
        <f t="shared" si="90"/>
        <v>7</v>
      </c>
      <c r="AN447">
        <f t="shared" si="101"/>
        <v>5</v>
      </c>
      <c r="AO447">
        <f t="shared" si="102"/>
        <v>7</v>
      </c>
      <c r="AP447">
        <f t="shared" si="103"/>
        <v>0</v>
      </c>
      <c r="AQ447">
        <f t="shared" si="91"/>
        <v>0</v>
      </c>
      <c r="AR447">
        <f t="shared" si="104"/>
        <v>0</v>
      </c>
    </row>
    <row r="448" spans="1:44" x14ac:dyDescent="0.25">
      <c r="A448" t="s">
        <v>496</v>
      </c>
      <c r="B448" t="s">
        <v>5</v>
      </c>
      <c r="D448" t="s">
        <v>6</v>
      </c>
      <c r="E448" t="s">
        <v>7</v>
      </c>
      <c r="F448" t="s">
        <v>1</v>
      </c>
      <c r="G448" t="s">
        <v>3</v>
      </c>
      <c r="H448" t="s">
        <v>4</v>
      </c>
      <c r="I448" s="1" t="s">
        <v>5</v>
      </c>
      <c r="J448" s="1"/>
      <c r="K448" s="1" t="s">
        <v>6</v>
      </c>
      <c r="L448" s="1" t="s">
        <v>7</v>
      </c>
      <c r="M448" s="1" t="b">
        <v>0</v>
      </c>
      <c r="N448" s="1"/>
      <c r="O448">
        <v>0</v>
      </c>
      <c r="P448">
        <v>0</v>
      </c>
      <c r="Q448">
        <v>7</v>
      </c>
      <c r="R448" s="1">
        <f t="shared" si="92"/>
        <v>0</v>
      </c>
      <c r="S448" s="1">
        <f t="shared" si="93"/>
        <v>0</v>
      </c>
      <c r="T448" s="1">
        <f t="shared" si="94"/>
        <v>0</v>
      </c>
      <c r="U448" s="1">
        <f t="shared" si="95"/>
        <v>0</v>
      </c>
      <c r="V448" s="1">
        <f t="shared" si="96"/>
        <v>6</v>
      </c>
      <c r="W448" s="1" t="str">
        <f t="shared" si="97"/>
        <v>IF1B</v>
      </c>
      <c r="X448" t="s">
        <v>39</v>
      </c>
      <c r="Y448" t="s">
        <v>39</v>
      </c>
      <c r="AJ448">
        <f t="shared" si="98"/>
        <v>110</v>
      </c>
      <c r="AK448">
        <f t="shared" si="99"/>
        <v>111</v>
      </c>
      <c r="AL448">
        <f t="shared" si="100"/>
        <v>6</v>
      </c>
      <c r="AM448">
        <f t="shared" si="90"/>
        <v>7</v>
      </c>
      <c r="AN448">
        <f t="shared" si="101"/>
        <v>6</v>
      </c>
      <c r="AO448">
        <f t="shared" si="102"/>
        <v>7</v>
      </c>
      <c r="AP448">
        <f t="shared" si="103"/>
        <v>0</v>
      </c>
      <c r="AQ448">
        <f t="shared" si="91"/>
        <v>0</v>
      </c>
      <c r="AR448">
        <f t="shared" si="104"/>
        <v>0</v>
      </c>
    </row>
    <row r="449" spans="1:44" x14ac:dyDescent="0.25">
      <c r="A449" t="s">
        <v>497</v>
      </c>
      <c r="B449" t="s">
        <v>5</v>
      </c>
      <c r="F449" t="s">
        <v>1</v>
      </c>
      <c r="I449" s="1" t="s">
        <v>5</v>
      </c>
      <c r="J449" s="1"/>
      <c r="K449" s="1"/>
      <c r="L449" s="1"/>
      <c r="M449" s="1" t="b">
        <v>0</v>
      </c>
      <c r="N449" s="1"/>
      <c r="O449">
        <v>0</v>
      </c>
      <c r="P449">
        <v>1</v>
      </c>
      <c r="Q449">
        <v>1</v>
      </c>
      <c r="R449" s="1">
        <f t="shared" si="92"/>
        <v>0</v>
      </c>
      <c r="S449" s="1">
        <f t="shared" si="93"/>
        <v>1</v>
      </c>
      <c r="T449" s="1">
        <f t="shared" si="94"/>
        <v>0</v>
      </c>
      <c r="U449" s="1">
        <f t="shared" si="95"/>
        <v>1</v>
      </c>
      <c r="V449" s="1">
        <f t="shared" si="96"/>
        <v>0</v>
      </c>
      <c r="W449" s="1" t="str">
        <f t="shared" si="97"/>
        <v>IF1B</v>
      </c>
      <c r="X449" t="s">
        <v>39</v>
      </c>
      <c r="Y449" t="s">
        <v>39</v>
      </c>
      <c r="AJ449">
        <f t="shared" si="98"/>
        <v>0</v>
      </c>
      <c r="AK449">
        <f t="shared" si="99"/>
        <v>1</v>
      </c>
      <c r="AL449">
        <f t="shared" si="100"/>
        <v>0</v>
      </c>
      <c r="AM449">
        <f t="shared" si="90"/>
        <v>1</v>
      </c>
      <c r="AN449">
        <f t="shared" si="101"/>
        <v>0</v>
      </c>
      <c r="AO449">
        <f t="shared" si="102"/>
        <v>1</v>
      </c>
      <c r="AP449">
        <f t="shared" si="103"/>
        <v>0</v>
      </c>
      <c r="AQ449">
        <f t="shared" si="91"/>
        <v>0</v>
      </c>
      <c r="AR449">
        <f t="shared" si="104"/>
        <v>0</v>
      </c>
    </row>
    <row r="450" spans="1:44" x14ac:dyDescent="0.25">
      <c r="A450" t="s">
        <v>498</v>
      </c>
      <c r="B450" t="s">
        <v>5</v>
      </c>
      <c r="C450" t="s">
        <v>6</v>
      </c>
      <c r="F450" t="s">
        <v>1</v>
      </c>
      <c r="G450" t="s">
        <v>2</v>
      </c>
      <c r="I450" s="1" t="s">
        <v>5</v>
      </c>
      <c r="J450" s="1" t="s">
        <v>6</v>
      </c>
      <c r="K450" s="1"/>
      <c r="L450" s="1"/>
      <c r="M450" s="1" t="b">
        <v>0</v>
      </c>
      <c r="N450" s="1"/>
      <c r="O450">
        <v>0</v>
      </c>
      <c r="P450">
        <v>1</v>
      </c>
      <c r="Q450">
        <v>4</v>
      </c>
      <c r="R450" s="1">
        <f t="shared" si="92"/>
        <v>0</v>
      </c>
      <c r="S450" s="1">
        <f t="shared" si="93"/>
        <v>1</v>
      </c>
      <c r="T450" s="1">
        <f t="shared" si="94"/>
        <v>0</v>
      </c>
      <c r="U450" s="1">
        <f t="shared" si="95"/>
        <v>1</v>
      </c>
      <c r="V450" s="1">
        <f t="shared" si="96"/>
        <v>1</v>
      </c>
      <c r="W450" s="1" t="str">
        <f t="shared" si="97"/>
        <v>IF1B</v>
      </c>
      <c r="X450" t="s">
        <v>39</v>
      </c>
      <c r="Y450" t="s">
        <v>39</v>
      </c>
      <c r="AJ450">
        <f t="shared" si="98"/>
        <v>1</v>
      </c>
      <c r="AK450">
        <f t="shared" si="99"/>
        <v>11</v>
      </c>
      <c r="AL450">
        <f t="shared" si="100"/>
        <v>1</v>
      </c>
      <c r="AM450">
        <f t="shared" si="90"/>
        <v>4</v>
      </c>
      <c r="AN450">
        <f t="shared" si="101"/>
        <v>1</v>
      </c>
      <c r="AO450">
        <f t="shared" si="102"/>
        <v>4</v>
      </c>
      <c r="AP450">
        <f t="shared" si="103"/>
        <v>0</v>
      </c>
      <c r="AQ450">
        <f t="shared" si="91"/>
        <v>0</v>
      </c>
      <c r="AR450">
        <f t="shared" si="104"/>
        <v>0</v>
      </c>
    </row>
    <row r="451" spans="1:44" x14ac:dyDescent="0.25">
      <c r="A451" t="s">
        <v>499</v>
      </c>
      <c r="B451" t="s">
        <v>5</v>
      </c>
      <c r="D451" t="s">
        <v>6</v>
      </c>
      <c r="F451" t="s">
        <v>1</v>
      </c>
      <c r="G451" t="s">
        <v>3</v>
      </c>
      <c r="I451" s="1" t="s">
        <v>5</v>
      </c>
      <c r="J451" s="1"/>
      <c r="K451" s="1" t="s">
        <v>6</v>
      </c>
      <c r="L451" s="1"/>
      <c r="M451" s="1" t="b">
        <v>0</v>
      </c>
      <c r="N451" s="1"/>
      <c r="O451">
        <v>0</v>
      </c>
      <c r="P451">
        <v>1</v>
      </c>
      <c r="Q451">
        <v>4</v>
      </c>
      <c r="R451" s="1">
        <f t="shared" si="92"/>
        <v>0</v>
      </c>
      <c r="S451" s="1">
        <f t="shared" si="93"/>
        <v>1</v>
      </c>
      <c r="T451" s="1">
        <f t="shared" si="94"/>
        <v>0</v>
      </c>
      <c r="U451" s="1">
        <f t="shared" si="95"/>
        <v>1</v>
      </c>
      <c r="V451" s="1">
        <f t="shared" si="96"/>
        <v>2</v>
      </c>
      <c r="W451" s="1" t="str">
        <f t="shared" si="97"/>
        <v>IF1B</v>
      </c>
      <c r="X451" t="s">
        <v>39</v>
      </c>
      <c r="Y451" t="s">
        <v>39</v>
      </c>
      <c r="AJ451">
        <f t="shared" si="98"/>
        <v>10</v>
      </c>
      <c r="AK451">
        <f t="shared" si="99"/>
        <v>11</v>
      </c>
      <c r="AL451">
        <f t="shared" si="100"/>
        <v>2</v>
      </c>
      <c r="AM451">
        <f t="shared" ref="AM451:AM514" si="105">INDEX($AU$3:$AU$10,MATCH(AK451,$AT$3:$AT$10,0))</f>
        <v>4</v>
      </c>
      <c r="AN451">
        <f t="shared" si="101"/>
        <v>2</v>
      </c>
      <c r="AO451">
        <f t="shared" si="102"/>
        <v>4</v>
      </c>
      <c r="AP451">
        <f t="shared" si="103"/>
        <v>0</v>
      </c>
      <c r="AQ451">
        <f t="shared" ref="AQ451:AQ514" si="106">N(AM451&lt;&gt;AO451)</f>
        <v>0</v>
      </c>
      <c r="AR451">
        <f t="shared" si="104"/>
        <v>0</v>
      </c>
    </row>
    <row r="452" spans="1:44" x14ac:dyDescent="0.25">
      <c r="A452" t="s">
        <v>500</v>
      </c>
      <c r="B452" t="s">
        <v>5</v>
      </c>
      <c r="E452" t="s">
        <v>7</v>
      </c>
      <c r="F452" t="s">
        <v>1</v>
      </c>
      <c r="H452" t="s">
        <v>4</v>
      </c>
      <c r="I452" s="1" t="s">
        <v>5</v>
      </c>
      <c r="J452" s="1"/>
      <c r="K452" s="1"/>
      <c r="L452" s="1" t="s">
        <v>7</v>
      </c>
      <c r="M452" s="1" t="b">
        <v>0</v>
      </c>
      <c r="N452" s="1"/>
      <c r="O452">
        <v>0</v>
      </c>
      <c r="P452">
        <v>1</v>
      </c>
      <c r="Q452">
        <v>5</v>
      </c>
      <c r="R452" s="1">
        <f t="shared" ref="R452:R515" si="107">COUNTIF(B452:E452,"b4")</f>
        <v>0</v>
      </c>
      <c r="S452" s="1">
        <f t="shared" ref="S452:S515" si="108">VALUE(LEFT(A452,1))</f>
        <v>1</v>
      </c>
      <c r="T452" s="1">
        <f t="shared" ref="T452:T515" si="109">COUNTIF(B452:E452,0)</f>
        <v>0</v>
      </c>
      <c r="U452" s="1">
        <f t="shared" ref="U452:U515" si="110">S452+T452</f>
        <v>1</v>
      </c>
      <c r="V452" s="1">
        <f t="shared" ref="V452:V515" si="111">VALUE(_xlfn.TEXTBEFORE(_xlfn.TEXTAFTER(A452,"_"),"_"))</f>
        <v>3</v>
      </c>
      <c r="W452" s="1" t="str">
        <f t="shared" ref="W452:W515" si="112">_xlfn.TEXTAFTER(A452,"_",-1)</f>
        <v>IF1B</v>
      </c>
      <c r="X452" t="s">
        <v>39</v>
      </c>
      <c r="Y452" t="s">
        <v>39</v>
      </c>
      <c r="AJ452">
        <f t="shared" ref="AJ452:AJ515" si="113">VALUE(IF(E452&lt;&gt;"","1","0")&amp;IF(D452&lt;&gt;"","1","0")&amp;IF(C452&lt;&gt;"","1","0"))</f>
        <v>100</v>
      </c>
      <c r="AK452">
        <f t="shared" ref="AK452:AK515" si="114">VALUE(IF(H452&lt;&gt;"","1","0")&amp;IF(G452&lt;&gt;"","1","0")&amp;IF(F452&lt;&gt;"","1","0"))</f>
        <v>101</v>
      </c>
      <c r="AL452">
        <f t="shared" ref="AL452:AL515" si="115">INDEX($AU$3:$AU$10,MATCH(AJ452,$AT$3:$AT$10,0))</f>
        <v>3</v>
      </c>
      <c r="AM452">
        <f t="shared" si="105"/>
        <v>5</v>
      </c>
      <c r="AN452">
        <f t="shared" ref="AN452:AN515" si="116">VALUE(_xlfn.TEXTBEFORE(_xlfn.TEXTAFTER(A452,"_"),"_"))</f>
        <v>3</v>
      </c>
      <c r="AO452">
        <f t="shared" ref="AO452:AO515" si="117">Q452</f>
        <v>5</v>
      </c>
      <c r="AP452">
        <f t="shared" ref="AP452:AP515" si="118">N(AL452&lt;&gt;AN452)</f>
        <v>0</v>
      </c>
      <c r="AQ452">
        <f t="shared" si="106"/>
        <v>0</v>
      </c>
      <c r="AR452">
        <f t="shared" ref="AR452:AR515" si="119">N(OR(AP452,AQ452))</f>
        <v>0</v>
      </c>
    </row>
    <row r="453" spans="1:44" x14ac:dyDescent="0.25">
      <c r="A453" t="s">
        <v>501</v>
      </c>
      <c r="B453" t="s">
        <v>5</v>
      </c>
      <c r="C453" t="s">
        <v>6</v>
      </c>
      <c r="D453" t="s">
        <v>7</v>
      </c>
      <c r="F453" t="s">
        <v>1</v>
      </c>
      <c r="G453" t="s">
        <v>2</v>
      </c>
      <c r="H453" t="s">
        <v>3</v>
      </c>
      <c r="I453" s="1" t="s">
        <v>5</v>
      </c>
      <c r="J453" s="1" t="s">
        <v>6</v>
      </c>
      <c r="K453" s="1" t="s">
        <v>7</v>
      </c>
      <c r="L453" s="1"/>
      <c r="M453" s="1" t="b">
        <v>0</v>
      </c>
      <c r="N453" s="1"/>
      <c r="O453">
        <v>0</v>
      </c>
      <c r="P453">
        <v>1</v>
      </c>
      <c r="Q453">
        <v>7</v>
      </c>
      <c r="R453" s="1">
        <f t="shared" si="107"/>
        <v>0</v>
      </c>
      <c r="S453" s="1">
        <f t="shared" si="108"/>
        <v>1</v>
      </c>
      <c r="T453" s="1">
        <f t="shared" si="109"/>
        <v>0</v>
      </c>
      <c r="U453" s="1">
        <f t="shared" si="110"/>
        <v>1</v>
      </c>
      <c r="V453" s="1">
        <f t="shared" si="111"/>
        <v>4</v>
      </c>
      <c r="W453" s="1" t="str">
        <f t="shared" si="112"/>
        <v>IF1B</v>
      </c>
      <c r="X453" t="s">
        <v>39</v>
      </c>
      <c r="Y453" t="s">
        <v>39</v>
      </c>
      <c r="AJ453">
        <f t="shared" si="113"/>
        <v>11</v>
      </c>
      <c r="AK453">
        <f t="shared" si="114"/>
        <v>111</v>
      </c>
      <c r="AL453">
        <f t="shared" si="115"/>
        <v>4</v>
      </c>
      <c r="AM453">
        <f t="shared" si="105"/>
        <v>7</v>
      </c>
      <c r="AN453">
        <f t="shared" si="116"/>
        <v>4</v>
      </c>
      <c r="AO453">
        <f t="shared" si="117"/>
        <v>7</v>
      </c>
      <c r="AP453">
        <f t="shared" si="118"/>
        <v>0</v>
      </c>
      <c r="AQ453">
        <f t="shared" si="106"/>
        <v>0</v>
      </c>
      <c r="AR453">
        <f t="shared" si="119"/>
        <v>0</v>
      </c>
    </row>
    <row r="454" spans="1:44" x14ac:dyDescent="0.25">
      <c r="A454" t="s">
        <v>502</v>
      </c>
      <c r="B454" t="s">
        <v>5</v>
      </c>
      <c r="C454" t="s">
        <v>6</v>
      </c>
      <c r="E454" t="s">
        <v>7</v>
      </c>
      <c r="F454" t="s">
        <v>1</v>
      </c>
      <c r="G454" t="s">
        <v>2</v>
      </c>
      <c r="H454" t="s">
        <v>4</v>
      </c>
      <c r="I454" s="1" t="s">
        <v>5</v>
      </c>
      <c r="J454" s="1" t="s">
        <v>6</v>
      </c>
      <c r="K454" s="1"/>
      <c r="L454" s="1" t="s">
        <v>7</v>
      </c>
      <c r="M454" s="1" t="b">
        <v>0</v>
      </c>
      <c r="N454" s="1"/>
      <c r="O454">
        <v>0</v>
      </c>
      <c r="P454">
        <v>1</v>
      </c>
      <c r="Q454">
        <v>7</v>
      </c>
      <c r="R454" s="1">
        <f t="shared" si="107"/>
        <v>0</v>
      </c>
      <c r="S454" s="1">
        <f t="shared" si="108"/>
        <v>1</v>
      </c>
      <c r="T454" s="1">
        <f t="shared" si="109"/>
        <v>0</v>
      </c>
      <c r="U454" s="1">
        <f t="shared" si="110"/>
        <v>1</v>
      </c>
      <c r="V454" s="1">
        <f t="shared" si="111"/>
        <v>5</v>
      </c>
      <c r="W454" s="1" t="str">
        <f t="shared" si="112"/>
        <v>IF1B</v>
      </c>
      <c r="X454" t="s">
        <v>39</v>
      </c>
      <c r="Y454" t="s">
        <v>39</v>
      </c>
      <c r="AJ454">
        <f t="shared" si="113"/>
        <v>101</v>
      </c>
      <c r="AK454">
        <f t="shared" si="114"/>
        <v>111</v>
      </c>
      <c r="AL454">
        <f t="shared" si="115"/>
        <v>5</v>
      </c>
      <c r="AM454">
        <f t="shared" si="105"/>
        <v>7</v>
      </c>
      <c r="AN454">
        <f t="shared" si="116"/>
        <v>5</v>
      </c>
      <c r="AO454">
        <f t="shared" si="117"/>
        <v>7</v>
      </c>
      <c r="AP454">
        <f t="shared" si="118"/>
        <v>0</v>
      </c>
      <c r="AQ454">
        <f t="shared" si="106"/>
        <v>0</v>
      </c>
      <c r="AR454">
        <f t="shared" si="119"/>
        <v>0</v>
      </c>
    </row>
    <row r="455" spans="1:44" x14ac:dyDescent="0.25">
      <c r="A455" t="s">
        <v>503</v>
      </c>
      <c r="B455" t="s">
        <v>5</v>
      </c>
      <c r="D455" t="s">
        <v>6</v>
      </c>
      <c r="E455" t="s">
        <v>7</v>
      </c>
      <c r="F455" t="s">
        <v>1</v>
      </c>
      <c r="G455" t="s">
        <v>3</v>
      </c>
      <c r="H455" t="s">
        <v>4</v>
      </c>
      <c r="I455" s="1" t="s">
        <v>5</v>
      </c>
      <c r="J455" s="1"/>
      <c r="K455" s="1" t="s">
        <v>6</v>
      </c>
      <c r="L455" s="1" t="s">
        <v>7</v>
      </c>
      <c r="M455" s="1" t="b">
        <v>0</v>
      </c>
      <c r="N455" s="1"/>
      <c r="O455">
        <v>0</v>
      </c>
      <c r="P455">
        <v>1</v>
      </c>
      <c r="Q455">
        <v>7</v>
      </c>
      <c r="R455" s="1">
        <f t="shared" si="107"/>
        <v>0</v>
      </c>
      <c r="S455" s="1">
        <f t="shared" si="108"/>
        <v>1</v>
      </c>
      <c r="T455" s="1">
        <f t="shared" si="109"/>
        <v>0</v>
      </c>
      <c r="U455" s="1">
        <f t="shared" si="110"/>
        <v>1</v>
      </c>
      <c r="V455" s="1">
        <f t="shared" si="111"/>
        <v>6</v>
      </c>
      <c r="W455" s="1" t="str">
        <f t="shared" si="112"/>
        <v>IF1B</v>
      </c>
      <c r="X455" t="s">
        <v>39</v>
      </c>
      <c r="Y455" t="s">
        <v>39</v>
      </c>
      <c r="AJ455">
        <f t="shared" si="113"/>
        <v>110</v>
      </c>
      <c r="AK455">
        <f t="shared" si="114"/>
        <v>111</v>
      </c>
      <c r="AL455">
        <f t="shared" si="115"/>
        <v>6</v>
      </c>
      <c r="AM455">
        <f t="shared" si="105"/>
        <v>7</v>
      </c>
      <c r="AN455">
        <f t="shared" si="116"/>
        <v>6</v>
      </c>
      <c r="AO455">
        <f t="shared" si="117"/>
        <v>7</v>
      </c>
      <c r="AP455">
        <f t="shared" si="118"/>
        <v>0</v>
      </c>
      <c r="AQ455">
        <f t="shared" si="106"/>
        <v>0</v>
      </c>
      <c r="AR455">
        <f t="shared" si="119"/>
        <v>0</v>
      </c>
    </row>
    <row r="456" spans="1:44" x14ac:dyDescent="0.25">
      <c r="A456" t="s">
        <v>504</v>
      </c>
      <c r="B456" t="s">
        <v>5</v>
      </c>
      <c r="C456" t="s">
        <v>6</v>
      </c>
      <c r="D456" t="s">
        <v>7</v>
      </c>
      <c r="E456" t="s">
        <v>43</v>
      </c>
      <c r="F456" t="s">
        <v>1</v>
      </c>
      <c r="G456" t="s">
        <v>2</v>
      </c>
      <c r="H456" t="s">
        <v>3</v>
      </c>
      <c r="I456" s="1" t="s">
        <v>5</v>
      </c>
      <c r="J456" s="1" t="s">
        <v>6</v>
      </c>
      <c r="K456" s="1" t="s">
        <v>7</v>
      </c>
      <c r="L456" s="1" t="s">
        <v>43</v>
      </c>
      <c r="M456" s="1" t="b">
        <v>0</v>
      </c>
      <c r="N456" s="1"/>
      <c r="O456">
        <v>1</v>
      </c>
      <c r="P456">
        <v>1</v>
      </c>
      <c r="Q456">
        <v>7</v>
      </c>
      <c r="R456" s="1">
        <f t="shared" si="107"/>
        <v>1</v>
      </c>
      <c r="S456" s="1">
        <f t="shared" si="108"/>
        <v>1</v>
      </c>
      <c r="T456" s="1">
        <f t="shared" si="109"/>
        <v>0</v>
      </c>
      <c r="U456" s="1">
        <f t="shared" si="110"/>
        <v>1</v>
      </c>
      <c r="V456" s="1">
        <f t="shared" si="111"/>
        <v>7</v>
      </c>
      <c r="W456" s="1" t="str">
        <f t="shared" si="112"/>
        <v>IF1B</v>
      </c>
      <c r="X456" t="s">
        <v>39</v>
      </c>
      <c r="Y456" t="s">
        <v>39</v>
      </c>
      <c r="AJ456">
        <f t="shared" si="113"/>
        <v>111</v>
      </c>
      <c r="AK456">
        <f t="shared" si="114"/>
        <v>111</v>
      </c>
      <c r="AL456">
        <f t="shared" si="115"/>
        <v>7</v>
      </c>
      <c r="AM456">
        <f t="shared" si="105"/>
        <v>7</v>
      </c>
      <c r="AN456">
        <f t="shared" si="116"/>
        <v>7</v>
      </c>
      <c r="AO456">
        <f t="shared" si="117"/>
        <v>7</v>
      </c>
      <c r="AP456">
        <f t="shared" si="118"/>
        <v>0</v>
      </c>
      <c r="AQ456">
        <f t="shared" si="106"/>
        <v>0</v>
      </c>
      <c r="AR456">
        <f t="shared" si="119"/>
        <v>0</v>
      </c>
    </row>
    <row r="457" spans="1:44" x14ac:dyDescent="0.25">
      <c r="A457" t="s">
        <v>505</v>
      </c>
      <c r="B457" t="s">
        <v>5</v>
      </c>
      <c r="F457" t="s">
        <v>1</v>
      </c>
      <c r="I457" s="1" t="s">
        <v>5</v>
      </c>
      <c r="J457" s="1"/>
      <c r="K457" s="1"/>
      <c r="L457" s="1"/>
      <c r="M457" s="1" t="b">
        <v>0</v>
      </c>
      <c r="N457" s="1"/>
      <c r="O457">
        <v>0</v>
      </c>
      <c r="P457">
        <v>2</v>
      </c>
      <c r="Q457">
        <v>1</v>
      </c>
      <c r="R457" s="1">
        <f t="shared" si="107"/>
        <v>0</v>
      </c>
      <c r="S457" s="1">
        <f t="shared" si="108"/>
        <v>2</v>
      </c>
      <c r="T457" s="1">
        <f t="shared" si="109"/>
        <v>0</v>
      </c>
      <c r="U457" s="1">
        <f t="shared" si="110"/>
        <v>2</v>
      </c>
      <c r="V457" s="1">
        <f t="shared" si="111"/>
        <v>0</v>
      </c>
      <c r="W457" s="1" t="str">
        <f t="shared" si="112"/>
        <v>IF1B</v>
      </c>
      <c r="X457" t="s">
        <v>39</v>
      </c>
      <c r="Y457" t="s">
        <v>39</v>
      </c>
      <c r="AJ457">
        <f t="shared" si="113"/>
        <v>0</v>
      </c>
      <c r="AK457">
        <f t="shared" si="114"/>
        <v>1</v>
      </c>
      <c r="AL457">
        <f t="shared" si="115"/>
        <v>0</v>
      </c>
      <c r="AM457">
        <f t="shared" si="105"/>
        <v>1</v>
      </c>
      <c r="AN457">
        <f t="shared" si="116"/>
        <v>0</v>
      </c>
      <c r="AO457">
        <f t="shared" si="117"/>
        <v>1</v>
      </c>
      <c r="AP457">
        <f t="shared" si="118"/>
        <v>0</v>
      </c>
      <c r="AQ457">
        <f t="shared" si="106"/>
        <v>0</v>
      </c>
      <c r="AR457">
        <f t="shared" si="119"/>
        <v>0</v>
      </c>
    </row>
    <row r="458" spans="1:44" x14ac:dyDescent="0.25">
      <c r="A458" t="s">
        <v>506</v>
      </c>
      <c r="B458" t="s">
        <v>5</v>
      </c>
      <c r="C458" t="s">
        <v>6</v>
      </c>
      <c r="F458" t="s">
        <v>1</v>
      </c>
      <c r="G458" t="s">
        <v>2</v>
      </c>
      <c r="I458" s="1" t="s">
        <v>5</v>
      </c>
      <c r="J458" s="1" t="s">
        <v>6</v>
      </c>
      <c r="K458" s="1"/>
      <c r="L458" s="1"/>
      <c r="M458" s="1" t="b">
        <v>0</v>
      </c>
      <c r="N458" s="1"/>
      <c r="O458">
        <v>0</v>
      </c>
      <c r="P458">
        <v>2</v>
      </c>
      <c r="Q458">
        <v>4</v>
      </c>
      <c r="R458" s="1">
        <f t="shared" si="107"/>
        <v>0</v>
      </c>
      <c r="S458" s="1">
        <f t="shared" si="108"/>
        <v>2</v>
      </c>
      <c r="T458" s="1">
        <f t="shared" si="109"/>
        <v>0</v>
      </c>
      <c r="U458" s="1">
        <f t="shared" si="110"/>
        <v>2</v>
      </c>
      <c r="V458" s="1">
        <f t="shared" si="111"/>
        <v>1</v>
      </c>
      <c r="W458" s="1" t="str">
        <f t="shared" si="112"/>
        <v>IF1B</v>
      </c>
      <c r="X458" t="s">
        <v>39</v>
      </c>
      <c r="Y458" t="s">
        <v>39</v>
      </c>
      <c r="AJ458">
        <f t="shared" si="113"/>
        <v>1</v>
      </c>
      <c r="AK458">
        <f t="shared" si="114"/>
        <v>11</v>
      </c>
      <c r="AL458">
        <f t="shared" si="115"/>
        <v>1</v>
      </c>
      <c r="AM458">
        <f t="shared" si="105"/>
        <v>4</v>
      </c>
      <c r="AN458">
        <f t="shared" si="116"/>
        <v>1</v>
      </c>
      <c r="AO458">
        <f t="shared" si="117"/>
        <v>4</v>
      </c>
      <c r="AP458">
        <f t="shared" si="118"/>
        <v>0</v>
      </c>
      <c r="AQ458">
        <f t="shared" si="106"/>
        <v>0</v>
      </c>
      <c r="AR458">
        <f t="shared" si="119"/>
        <v>0</v>
      </c>
    </row>
    <row r="459" spans="1:44" x14ac:dyDescent="0.25">
      <c r="A459" t="s">
        <v>507</v>
      </c>
      <c r="B459" t="s">
        <v>5</v>
      </c>
      <c r="D459" t="s">
        <v>7</v>
      </c>
      <c r="F459" t="s">
        <v>1</v>
      </c>
      <c r="H459" t="s">
        <v>3</v>
      </c>
      <c r="I459" s="1" t="s">
        <v>5</v>
      </c>
      <c r="J459" s="1"/>
      <c r="K459" s="1" t="s">
        <v>7</v>
      </c>
      <c r="L459" s="1"/>
      <c r="M459" s="1" t="b">
        <v>0</v>
      </c>
      <c r="N459" s="1"/>
      <c r="O459">
        <v>0</v>
      </c>
      <c r="P459">
        <v>2</v>
      </c>
      <c r="Q459">
        <v>5</v>
      </c>
      <c r="R459" s="1">
        <f t="shared" si="107"/>
        <v>0</v>
      </c>
      <c r="S459" s="1">
        <f t="shared" si="108"/>
        <v>2</v>
      </c>
      <c r="T459" s="1">
        <f t="shared" si="109"/>
        <v>0</v>
      </c>
      <c r="U459" s="1">
        <f t="shared" si="110"/>
        <v>2</v>
      </c>
      <c r="V459" s="1">
        <f t="shared" si="111"/>
        <v>2</v>
      </c>
      <c r="W459" s="1" t="str">
        <f t="shared" si="112"/>
        <v>IF1B</v>
      </c>
      <c r="X459" t="s">
        <v>39</v>
      </c>
      <c r="Y459" t="s">
        <v>39</v>
      </c>
      <c r="AJ459">
        <f t="shared" si="113"/>
        <v>10</v>
      </c>
      <c r="AK459">
        <f t="shared" si="114"/>
        <v>101</v>
      </c>
      <c r="AL459">
        <f t="shared" si="115"/>
        <v>2</v>
      </c>
      <c r="AM459">
        <f t="shared" si="105"/>
        <v>5</v>
      </c>
      <c r="AN459">
        <f t="shared" si="116"/>
        <v>2</v>
      </c>
      <c r="AO459">
        <f t="shared" si="117"/>
        <v>5</v>
      </c>
      <c r="AP459">
        <f t="shared" si="118"/>
        <v>0</v>
      </c>
      <c r="AQ459">
        <f t="shared" si="106"/>
        <v>0</v>
      </c>
      <c r="AR459">
        <f t="shared" si="119"/>
        <v>0</v>
      </c>
    </row>
    <row r="460" spans="1:44" x14ac:dyDescent="0.25">
      <c r="A460" t="s">
        <v>508</v>
      </c>
      <c r="B460" t="s">
        <v>5</v>
      </c>
      <c r="E460" t="s">
        <v>43</v>
      </c>
      <c r="F460" t="s">
        <v>1</v>
      </c>
      <c r="I460" s="1" t="s">
        <v>5</v>
      </c>
      <c r="J460" s="1"/>
      <c r="K460" s="1"/>
      <c r="L460" s="1" t="s">
        <v>43</v>
      </c>
      <c r="M460" s="1" t="b">
        <v>0</v>
      </c>
      <c r="N460" s="1"/>
      <c r="O460">
        <v>1</v>
      </c>
      <c r="P460">
        <v>2</v>
      </c>
      <c r="Q460">
        <v>1</v>
      </c>
      <c r="R460" s="1">
        <f t="shared" si="107"/>
        <v>1</v>
      </c>
      <c r="S460" s="1">
        <f t="shared" si="108"/>
        <v>2</v>
      </c>
      <c r="T460" s="1">
        <f t="shared" si="109"/>
        <v>0</v>
      </c>
      <c r="U460" s="1">
        <f t="shared" si="110"/>
        <v>2</v>
      </c>
      <c r="V460" s="1">
        <f t="shared" si="111"/>
        <v>3</v>
      </c>
      <c r="W460" s="1" t="str">
        <f t="shared" si="112"/>
        <v>IF1B</v>
      </c>
      <c r="X460" t="s">
        <v>39</v>
      </c>
      <c r="Y460" t="s">
        <v>39</v>
      </c>
      <c r="AJ460">
        <f t="shared" si="113"/>
        <v>100</v>
      </c>
      <c r="AK460">
        <f t="shared" si="114"/>
        <v>1</v>
      </c>
      <c r="AL460">
        <f t="shared" si="115"/>
        <v>3</v>
      </c>
      <c r="AM460">
        <f t="shared" si="105"/>
        <v>1</v>
      </c>
      <c r="AN460">
        <f t="shared" si="116"/>
        <v>3</v>
      </c>
      <c r="AO460">
        <f t="shared" si="117"/>
        <v>1</v>
      </c>
      <c r="AP460">
        <f t="shared" si="118"/>
        <v>0</v>
      </c>
      <c r="AQ460">
        <f t="shared" si="106"/>
        <v>0</v>
      </c>
      <c r="AR460">
        <f t="shared" si="119"/>
        <v>0</v>
      </c>
    </row>
    <row r="461" spans="1:44" x14ac:dyDescent="0.25">
      <c r="A461" t="s">
        <v>509</v>
      </c>
      <c r="B461" t="s">
        <v>5</v>
      </c>
      <c r="C461" t="s">
        <v>6</v>
      </c>
      <c r="D461" t="s">
        <v>7</v>
      </c>
      <c r="F461" t="s">
        <v>1</v>
      </c>
      <c r="G461" t="s">
        <v>2</v>
      </c>
      <c r="H461" t="s">
        <v>3</v>
      </c>
      <c r="I461" s="1" t="s">
        <v>5</v>
      </c>
      <c r="J461" s="1" t="s">
        <v>6</v>
      </c>
      <c r="K461" s="1" t="s">
        <v>7</v>
      </c>
      <c r="L461" s="1"/>
      <c r="M461" s="1" t="b">
        <v>0</v>
      </c>
      <c r="N461" s="1"/>
      <c r="O461">
        <v>0</v>
      </c>
      <c r="P461">
        <v>2</v>
      </c>
      <c r="Q461">
        <v>7</v>
      </c>
      <c r="R461" s="1">
        <f t="shared" si="107"/>
        <v>0</v>
      </c>
      <c r="S461" s="1">
        <f t="shared" si="108"/>
        <v>2</v>
      </c>
      <c r="T461" s="1">
        <f t="shared" si="109"/>
        <v>0</v>
      </c>
      <c r="U461" s="1">
        <f t="shared" si="110"/>
        <v>2</v>
      </c>
      <c r="V461" s="1">
        <f t="shared" si="111"/>
        <v>4</v>
      </c>
      <c r="W461" s="1" t="str">
        <f t="shared" si="112"/>
        <v>IF1B</v>
      </c>
      <c r="X461" t="s">
        <v>39</v>
      </c>
      <c r="Y461" t="s">
        <v>39</v>
      </c>
      <c r="AJ461">
        <f t="shared" si="113"/>
        <v>11</v>
      </c>
      <c r="AK461">
        <f t="shared" si="114"/>
        <v>111</v>
      </c>
      <c r="AL461">
        <f t="shared" si="115"/>
        <v>4</v>
      </c>
      <c r="AM461">
        <f t="shared" si="105"/>
        <v>7</v>
      </c>
      <c r="AN461">
        <f t="shared" si="116"/>
        <v>4</v>
      </c>
      <c r="AO461">
        <f t="shared" si="117"/>
        <v>7</v>
      </c>
      <c r="AP461">
        <f t="shared" si="118"/>
        <v>0</v>
      </c>
      <c r="AQ461">
        <f t="shared" si="106"/>
        <v>0</v>
      </c>
      <c r="AR461">
        <f t="shared" si="119"/>
        <v>0</v>
      </c>
    </row>
    <row r="462" spans="1:44" x14ac:dyDescent="0.25">
      <c r="A462" t="s">
        <v>510</v>
      </c>
      <c r="B462" t="s">
        <v>5</v>
      </c>
      <c r="C462" t="s">
        <v>6</v>
      </c>
      <c r="E462" t="s">
        <v>43</v>
      </c>
      <c r="F462" t="s">
        <v>1</v>
      </c>
      <c r="G462" t="s">
        <v>2</v>
      </c>
      <c r="I462" s="1" t="s">
        <v>5</v>
      </c>
      <c r="J462" s="1" t="s">
        <v>6</v>
      </c>
      <c r="K462" s="1"/>
      <c r="L462" s="1" t="s">
        <v>43</v>
      </c>
      <c r="M462" s="1" t="b">
        <v>0</v>
      </c>
      <c r="N462" s="1"/>
      <c r="O462">
        <v>1</v>
      </c>
      <c r="P462">
        <v>2</v>
      </c>
      <c r="Q462">
        <v>4</v>
      </c>
      <c r="R462" s="1">
        <f t="shared" si="107"/>
        <v>1</v>
      </c>
      <c r="S462" s="1">
        <f t="shared" si="108"/>
        <v>2</v>
      </c>
      <c r="T462" s="1">
        <f t="shared" si="109"/>
        <v>0</v>
      </c>
      <c r="U462" s="1">
        <f t="shared" si="110"/>
        <v>2</v>
      </c>
      <c r="V462" s="1">
        <f t="shared" si="111"/>
        <v>5</v>
      </c>
      <c r="W462" s="1" t="str">
        <f t="shared" si="112"/>
        <v>IF1B</v>
      </c>
      <c r="X462" t="s">
        <v>39</v>
      </c>
      <c r="Y462" t="s">
        <v>39</v>
      </c>
      <c r="AJ462">
        <f t="shared" si="113"/>
        <v>101</v>
      </c>
      <c r="AK462">
        <f t="shared" si="114"/>
        <v>11</v>
      </c>
      <c r="AL462">
        <f t="shared" si="115"/>
        <v>5</v>
      </c>
      <c r="AM462">
        <f t="shared" si="105"/>
        <v>4</v>
      </c>
      <c r="AN462">
        <f t="shared" si="116"/>
        <v>5</v>
      </c>
      <c r="AO462">
        <f t="shared" si="117"/>
        <v>4</v>
      </c>
      <c r="AP462">
        <f t="shared" si="118"/>
        <v>0</v>
      </c>
      <c r="AQ462">
        <f t="shared" si="106"/>
        <v>0</v>
      </c>
      <c r="AR462">
        <f t="shared" si="119"/>
        <v>0</v>
      </c>
    </row>
    <row r="463" spans="1:44" x14ac:dyDescent="0.25">
      <c r="A463" t="s">
        <v>511</v>
      </c>
      <c r="B463" t="s">
        <v>5</v>
      </c>
      <c r="D463" t="s">
        <v>7</v>
      </c>
      <c r="E463" t="s">
        <v>43</v>
      </c>
      <c r="F463" t="s">
        <v>1</v>
      </c>
      <c r="H463" t="s">
        <v>3</v>
      </c>
      <c r="I463" s="1" t="s">
        <v>5</v>
      </c>
      <c r="J463" s="1"/>
      <c r="K463" s="1" t="s">
        <v>7</v>
      </c>
      <c r="L463" s="1" t="s">
        <v>43</v>
      </c>
      <c r="M463" s="1" t="b">
        <v>0</v>
      </c>
      <c r="N463" s="1"/>
      <c r="O463">
        <v>1</v>
      </c>
      <c r="P463">
        <v>2</v>
      </c>
      <c r="Q463">
        <v>5</v>
      </c>
      <c r="R463" s="1">
        <f t="shared" si="107"/>
        <v>1</v>
      </c>
      <c r="S463" s="1">
        <f t="shared" si="108"/>
        <v>2</v>
      </c>
      <c r="T463" s="1">
        <f t="shared" si="109"/>
        <v>0</v>
      </c>
      <c r="U463" s="1">
        <f t="shared" si="110"/>
        <v>2</v>
      </c>
      <c r="V463" s="1">
        <f t="shared" si="111"/>
        <v>6</v>
      </c>
      <c r="W463" s="1" t="str">
        <f t="shared" si="112"/>
        <v>IF1B</v>
      </c>
      <c r="X463" t="s">
        <v>39</v>
      </c>
      <c r="Y463" t="s">
        <v>39</v>
      </c>
      <c r="AJ463">
        <f t="shared" si="113"/>
        <v>110</v>
      </c>
      <c r="AK463">
        <f t="shared" si="114"/>
        <v>101</v>
      </c>
      <c r="AL463">
        <f t="shared" si="115"/>
        <v>6</v>
      </c>
      <c r="AM463">
        <f t="shared" si="105"/>
        <v>5</v>
      </c>
      <c r="AN463">
        <f t="shared" si="116"/>
        <v>6</v>
      </c>
      <c r="AO463">
        <f t="shared" si="117"/>
        <v>5</v>
      </c>
      <c r="AP463">
        <f t="shared" si="118"/>
        <v>0</v>
      </c>
      <c r="AQ463">
        <f t="shared" si="106"/>
        <v>0</v>
      </c>
      <c r="AR463">
        <f t="shared" si="119"/>
        <v>0</v>
      </c>
    </row>
    <row r="464" spans="1:44" x14ac:dyDescent="0.25">
      <c r="A464" t="s">
        <v>512</v>
      </c>
      <c r="B464" t="s">
        <v>5</v>
      </c>
      <c r="C464" t="s">
        <v>6</v>
      </c>
      <c r="D464" t="s">
        <v>7</v>
      </c>
      <c r="E464" t="s">
        <v>43</v>
      </c>
      <c r="F464" t="s">
        <v>1</v>
      </c>
      <c r="G464" t="s">
        <v>2</v>
      </c>
      <c r="H464" t="s">
        <v>3</v>
      </c>
      <c r="I464" s="1" t="s">
        <v>5</v>
      </c>
      <c r="J464" s="1" t="s">
        <v>6</v>
      </c>
      <c r="K464" s="1" t="s">
        <v>7</v>
      </c>
      <c r="L464" s="1" t="s">
        <v>43</v>
      </c>
      <c r="M464" s="1" t="b">
        <v>0</v>
      </c>
      <c r="N464" s="1"/>
      <c r="O464">
        <v>1</v>
      </c>
      <c r="P464">
        <v>2</v>
      </c>
      <c r="Q464">
        <v>7</v>
      </c>
      <c r="R464" s="1">
        <f t="shared" si="107"/>
        <v>1</v>
      </c>
      <c r="S464" s="1">
        <f t="shared" si="108"/>
        <v>2</v>
      </c>
      <c r="T464" s="1">
        <f t="shared" si="109"/>
        <v>0</v>
      </c>
      <c r="U464" s="1">
        <f t="shared" si="110"/>
        <v>2</v>
      </c>
      <c r="V464" s="1">
        <f t="shared" si="111"/>
        <v>7</v>
      </c>
      <c r="W464" s="1" t="str">
        <f t="shared" si="112"/>
        <v>IF1B</v>
      </c>
      <c r="X464" t="s">
        <v>39</v>
      </c>
      <c r="Y464" t="s">
        <v>39</v>
      </c>
      <c r="AJ464">
        <f t="shared" si="113"/>
        <v>111</v>
      </c>
      <c r="AK464">
        <f t="shared" si="114"/>
        <v>111</v>
      </c>
      <c r="AL464">
        <f t="shared" si="115"/>
        <v>7</v>
      </c>
      <c r="AM464">
        <f t="shared" si="105"/>
        <v>7</v>
      </c>
      <c r="AN464">
        <f t="shared" si="116"/>
        <v>7</v>
      </c>
      <c r="AO464">
        <f t="shared" si="117"/>
        <v>7</v>
      </c>
      <c r="AP464">
        <f t="shared" si="118"/>
        <v>0</v>
      </c>
      <c r="AQ464">
        <f t="shared" si="106"/>
        <v>0</v>
      </c>
      <c r="AR464">
        <f t="shared" si="119"/>
        <v>0</v>
      </c>
    </row>
    <row r="465" spans="1:44" x14ac:dyDescent="0.25">
      <c r="A465" t="s">
        <v>513</v>
      </c>
      <c r="B465">
        <v>0</v>
      </c>
      <c r="I465" s="1">
        <v>0</v>
      </c>
      <c r="J465" s="1"/>
      <c r="K465" s="1"/>
      <c r="L465" s="1"/>
      <c r="M465" s="1" t="b">
        <v>0</v>
      </c>
      <c r="N465" s="1"/>
      <c r="O465">
        <v>0</v>
      </c>
      <c r="P465">
        <v>1</v>
      </c>
      <c r="Q465">
        <v>0</v>
      </c>
      <c r="R465" s="1">
        <f t="shared" si="107"/>
        <v>0</v>
      </c>
      <c r="S465" s="1">
        <f t="shared" si="108"/>
        <v>0</v>
      </c>
      <c r="T465" s="1">
        <f t="shared" si="109"/>
        <v>1</v>
      </c>
      <c r="U465" s="1">
        <f t="shared" si="110"/>
        <v>1</v>
      </c>
      <c r="V465" s="1">
        <f t="shared" si="111"/>
        <v>0</v>
      </c>
      <c r="W465" s="1" t="str">
        <f t="shared" si="112"/>
        <v>K</v>
      </c>
      <c r="X465" t="s">
        <v>39</v>
      </c>
      <c r="Y465" t="s">
        <v>149</v>
      </c>
      <c r="AJ465">
        <f t="shared" si="113"/>
        <v>0</v>
      </c>
      <c r="AK465">
        <f t="shared" si="114"/>
        <v>0</v>
      </c>
      <c r="AL465">
        <f t="shared" si="115"/>
        <v>0</v>
      </c>
      <c r="AM465">
        <f t="shared" si="105"/>
        <v>0</v>
      </c>
      <c r="AN465">
        <f t="shared" si="116"/>
        <v>0</v>
      </c>
      <c r="AO465">
        <f t="shared" si="117"/>
        <v>0</v>
      </c>
      <c r="AP465">
        <f t="shared" si="118"/>
        <v>0</v>
      </c>
      <c r="AQ465">
        <f t="shared" si="106"/>
        <v>0</v>
      </c>
      <c r="AR465">
        <f t="shared" si="119"/>
        <v>0</v>
      </c>
    </row>
    <row r="466" spans="1:44" x14ac:dyDescent="0.25">
      <c r="A466" t="s">
        <v>514</v>
      </c>
      <c r="B466">
        <v>0</v>
      </c>
      <c r="C466" t="s">
        <v>5</v>
      </c>
      <c r="F466" t="s">
        <v>2</v>
      </c>
      <c r="I466" s="1">
        <v>0</v>
      </c>
      <c r="J466" s="1" t="s">
        <v>5</v>
      </c>
      <c r="K466" s="1"/>
      <c r="L466" s="1"/>
      <c r="M466" s="1" t="b">
        <v>0</v>
      </c>
      <c r="N466" s="1"/>
      <c r="O466">
        <v>0</v>
      </c>
      <c r="P466">
        <v>1</v>
      </c>
      <c r="Q466">
        <v>1</v>
      </c>
      <c r="R466" s="1">
        <f t="shared" si="107"/>
        <v>0</v>
      </c>
      <c r="S466" s="1">
        <f t="shared" si="108"/>
        <v>0</v>
      </c>
      <c r="T466" s="1">
        <f t="shared" si="109"/>
        <v>1</v>
      </c>
      <c r="U466" s="1">
        <f t="shared" si="110"/>
        <v>1</v>
      </c>
      <c r="V466" s="1">
        <f t="shared" si="111"/>
        <v>1</v>
      </c>
      <c r="W466" s="1" t="str">
        <f t="shared" si="112"/>
        <v>K</v>
      </c>
      <c r="X466" t="s">
        <v>39</v>
      </c>
      <c r="Y466" t="s">
        <v>149</v>
      </c>
      <c r="AJ466">
        <f t="shared" si="113"/>
        <v>1</v>
      </c>
      <c r="AK466">
        <f t="shared" si="114"/>
        <v>1</v>
      </c>
      <c r="AL466">
        <f t="shared" si="115"/>
        <v>1</v>
      </c>
      <c r="AM466">
        <f t="shared" si="105"/>
        <v>1</v>
      </c>
      <c r="AN466">
        <f t="shared" si="116"/>
        <v>1</v>
      </c>
      <c r="AO466">
        <f t="shared" si="117"/>
        <v>1</v>
      </c>
      <c r="AP466">
        <f t="shared" si="118"/>
        <v>0</v>
      </c>
      <c r="AQ466">
        <f t="shared" si="106"/>
        <v>0</v>
      </c>
      <c r="AR466">
        <f t="shared" si="119"/>
        <v>0</v>
      </c>
    </row>
    <row r="467" spans="1:44" x14ac:dyDescent="0.25">
      <c r="A467" t="s">
        <v>515</v>
      </c>
      <c r="B467">
        <v>0</v>
      </c>
      <c r="D467" t="s">
        <v>6</v>
      </c>
      <c r="G467" t="s">
        <v>3</v>
      </c>
      <c r="I467" s="1">
        <v>0</v>
      </c>
      <c r="J467" s="1"/>
      <c r="K467" s="1" t="s">
        <v>6</v>
      </c>
      <c r="L467" s="1"/>
      <c r="M467" s="1" t="b">
        <v>0</v>
      </c>
      <c r="N467" s="1"/>
      <c r="O467">
        <v>0</v>
      </c>
      <c r="P467">
        <v>1</v>
      </c>
      <c r="Q467">
        <v>2</v>
      </c>
      <c r="R467" s="1">
        <f t="shared" si="107"/>
        <v>0</v>
      </c>
      <c r="S467" s="1">
        <f t="shared" si="108"/>
        <v>0</v>
      </c>
      <c r="T467" s="1">
        <f t="shared" si="109"/>
        <v>1</v>
      </c>
      <c r="U467" s="1">
        <f t="shared" si="110"/>
        <v>1</v>
      </c>
      <c r="V467" s="1">
        <f t="shared" si="111"/>
        <v>2</v>
      </c>
      <c r="W467" s="1" t="str">
        <f t="shared" si="112"/>
        <v>K</v>
      </c>
      <c r="X467" t="s">
        <v>39</v>
      </c>
      <c r="Y467" t="s">
        <v>149</v>
      </c>
      <c r="AJ467">
        <f t="shared" si="113"/>
        <v>10</v>
      </c>
      <c r="AK467">
        <f t="shared" si="114"/>
        <v>10</v>
      </c>
      <c r="AL467">
        <f t="shared" si="115"/>
        <v>2</v>
      </c>
      <c r="AM467">
        <f t="shared" si="105"/>
        <v>2</v>
      </c>
      <c r="AN467">
        <f t="shared" si="116"/>
        <v>2</v>
      </c>
      <c r="AO467">
        <f t="shared" si="117"/>
        <v>2</v>
      </c>
      <c r="AP467">
        <f t="shared" si="118"/>
        <v>0</v>
      </c>
      <c r="AQ467">
        <f t="shared" si="106"/>
        <v>0</v>
      </c>
      <c r="AR467">
        <f t="shared" si="119"/>
        <v>0</v>
      </c>
    </row>
    <row r="468" spans="1:44" x14ac:dyDescent="0.25">
      <c r="A468" t="s">
        <v>516</v>
      </c>
      <c r="B468">
        <v>0</v>
      </c>
      <c r="E468" t="s">
        <v>7</v>
      </c>
      <c r="H468" t="s">
        <v>4</v>
      </c>
      <c r="I468" s="1">
        <v>0</v>
      </c>
      <c r="J468" s="1"/>
      <c r="K468" s="1"/>
      <c r="L468" s="1" t="s">
        <v>7</v>
      </c>
      <c r="M468" s="1" t="b">
        <v>0</v>
      </c>
      <c r="N468" s="1"/>
      <c r="O468">
        <v>0</v>
      </c>
      <c r="P468">
        <v>1</v>
      </c>
      <c r="Q468">
        <v>3</v>
      </c>
      <c r="R468" s="1">
        <f t="shared" si="107"/>
        <v>0</v>
      </c>
      <c r="S468" s="1">
        <f t="shared" si="108"/>
        <v>0</v>
      </c>
      <c r="T468" s="1">
        <f t="shared" si="109"/>
        <v>1</v>
      </c>
      <c r="U468" s="1">
        <f t="shared" si="110"/>
        <v>1</v>
      </c>
      <c r="V468" s="1">
        <f t="shared" si="111"/>
        <v>3</v>
      </c>
      <c r="W468" s="1" t="str">
        <f t="shared" si="112"/>
        <v>K</v>
      </c>
      <c r="X468" t="s">
        <v>39</v>
      </c>
      <c r="Y468" t="s">
        <v>149</v>
      </c>
      <c r="AJ468">
        <f t="shared" si="113"/>
        <v>100</v>
      </c>
      <c r="AK468">
        <f t="shared" si="114"/>
        <v>100</v>
      </c>
      <c r="AL468">
        <f t="shared" si="115"/>
        <v>3</v>
      </c>
      <c r="AM468">
        <f t="shared" si="105"/>
        <v>3</v>
      </c>
      <c r="AN468">
        <f t="shared" si="116"/>
        <v>3</v>
      </c>
      <c r="AO468">
        <f t="shared" si="117"/>
        <v>3</v>
      </c>
      <c r="AP468">
        <f t="shared" si="118"/>
        <v>0</v>
      </c>
      <c r="AQ468">
        <f t="shared" si="106"/>
        <v>0</v>
      </c>
      <c r="AR468">
        <f t="shared" si="119"/>
        <v>0</v>
      </c>
    </row>
    <row r="469" spans="1:44" x14ac:dyDescent="0.25">
      <c r="A469" t="s">
        <v>517</v>
      </c>
      <c r="B469">
        <v>0</v>
      </c>
      <c r="C469" t="s">
        <v>5</v>
      </c>
      <c r="D469" t="s">
        <v>6</v>
      </c>
      <c r="F469" t="s">
        <v>2</v>
      </c>
      <c r="G469" t="s">
        <v>3</v>
      </c>
      <c r="I469" s="1">
        <v>0</v>
      </c>
      <c r="J469" s="1" t="s">
        <v>5</v>
      </c>
      <c r="K469" s="1" t="s">
        <v>6</v>
      </c>
      <c r="L469" s="1"/>
      <c r="M469" s="1" t="b">
        <v>0</v>
      </c>
      <c r="N469" s="1"/>
      <c r="O469">
        <v>0</v>
      </c>
      <c r="P469">
        <v>1</v>
      </c>
      <c r="Q469">
        <v>4</v>
      </c>
      <c r="R469" s="1">
        <f t="shared" si="107"/>
        <v>0</v>
      </c>
      <c r="S469" s="1">
        <f t="shared" si="108"/>
        <v>0</v>
      </c>
      <c r="T469" s="1">
        <f t="shared" si="109"/>
        <v>1</v>
      </c>
      <c r="U469" s="1">
        <f t="shared" si="110"/>
        <v>1</v>
      </c>
      <c r="V469" s="1">
        <f t="shared" si="111"/>
        <v>4</v>
      </c>
      <c r="W469" s="1" t="str">
        <f t="shared" si="112"/>
        <v>K</v>
      </c>
      <c r="X469" t="s">
        <v>39</v>
      </c>
      <c r="Y469" t="s">
        <v>149</v>
      </c>
      <c r="AJ469">
        <f t="shared" si="113"/>
        <v>11</v>
      </c>
      <c r="AK469">
        <f t="shared" si="114"/>
        <v>11</v>
      </c>
      <c r="AL469">
        <f t="shared" si="115"/>
        <v>4</v>
      </c>
      <c r="AM469">
        <f t="shared" si="105"/>
        <v>4</v>
      </c>
      <c r="AN469">
        <f t="shared" si="116"/>
        <v>4</v>
      </c>
      <c r="AO469">
        <f t="shared" si="117"/>
        <v>4</v>
      </c>
      <c r="AP469">
        <f t="shared" si="118"/>
        <v>0</v>
      </c>
      <c r="AQ469">
        <f t="shared" si="106"/>
        <v>0</v>
      </c>
      <c r="AR469">
        <f t="shared" si="119"/>
        <v>0</v>
      </c>
    </row>
    <row r="470" spans="1:44" x14ac:dyDescent="0.25">
      <c r="A470" t="s">
        <v>518</v>
      </c>
      <c r="B470">
        <v>0</v>
      </c>
      <c r="C470" t="s">
        <v>5</v>
      </c>
      <c r="E470" t="s">
        <v>7</v>
      </c>
      <c r="F470" t="s">
        <v>2</v>
      </c>
      <c r="H470" t="s">
        <v>4</v>
      </c>
      <c r="I470" s="1">
        <v>0</v>
      </c>
      <c r="J470" s="1" t="s">
        <v>5</v>
      </c>
      <c r="K470" s="1"/>
      <c r="L470" s="1" t="s">
        <v>7</v>
      </c>
      <c r="M470" s="1" t="b">
        <v>0</v>
      </c>
      <c r="N470" s="1"/>
      <c r="O470">
        <v>0</v>
      </c>
      <c r="P470">
        <v>1</v>
      </c>
      <c r="Q470">
        <v>5</v>
      </c>
      <c r="R470" s="1">
        <f t="shared" si="107"/>
        <v>0</v>
      </c>
      <c r="S470" s="1">
        <f t="shared" si="108"/>
        <v>0</v>
      </c>
      <c r="T470" s="1">
        <f t="shared" si="109"/>
        <v>1</v>
      </c>
      <c r="U470" s="1">
        <f t="shared" si="110"/>
        <v>1</v>
      </c>
      <c r="V470" s="1">
        <f t="shared" si="111"/>
        <v>5</v>
      </c>
      <c r="W470" s="1" t="str">
        <f t="shared" si="112"/>
        <v>K</v>
      </c>
      <c r="X470" t="s">
        <v>39</v>
      </c>
      <c r="Y470" t="s">
        <v>149</v>
      </c>
      <c r="AJ470">
        <f t="shared" si="113"/>
        <v>101</v>
      </c>
      <c r="AK470">
        <f t="shared" si="114"/>
        <v>101</v>
      </c>
      <c r="AL470">
        <f t="shared" si="115"/>
        <v>5</v>
      </c>
      <c r="AM470">
        <f t="shared" si="105"/>
        <v>5</v>
      </c>
      <c r="AN470">
        <f t="shared" si="116"/>
        <v>5</v>
      </c>
      <c r="AO470">
        <f t="shared" si="117"/>
        <v>5</v>
      </c>
      <c r="AP470">
        <f t="shared" si="118"/>
        <v>0</v>
      </c>
      <c r="AQ470">
        <f t="shared" si="106"/>
        <v>0</v>
      </c>
      <c r="AR470">
        <f t="shared" si="119"/>
        <v>0</v>
      </c>
    </row>
    <row r="471" spans="1:44" x14ac:dyDescent="0.25">
      <c r="A471" t="s">
        <v>519</v>
      </c>
      <c r="B471">
        <v>0</v>
      </c>
      <c r="D471" t="s">
        <v>6</v>
      </c>
      <c r="E471" t="s">
        <v>7</v>
      </c>
      <c r="G471" t="s">
        <v>3</v>
      </c>
      <c r="H471" t="s">
        <v>4</v>
      </c>
      <c r="I471" s="1">
        <v>0</v>
      </c>
      <c r="J471" s="1"/>
      <c r="K471" s="1" t="s">
        <v>6</v>
      </c>
      <c r="L471" s="1" t="s">
        <v>7</v>
      </c>
      <c r="M471" s="1" t="b">
        <v>0</v>
      </c>
      <c r="N471" s="1"/>
      <c r="O471">
        <v>0</v>
      </c>
      <c r="P471">
        <v>1</v>
      </c>
      <c r="Q471">
        <v>6</v>
      </c>
      <c r="R471" s="1">
        <f t="shared" si="107"/>
        <v>0</v>
      </c>
      <c r="S471" s="1">
        <f t="shared" si="108"/>
        <v>0</v>
      </c>
      <c r="T471" s="1">
        <f t="shared" si="109"/>
        <v>1</v>
      </c>
      <c r="U471" s="1">
        <f t="shared" si="110"/>
        <v>1</v>
      </c>
      <c r="V471" s="1">
        <f t="shared" si="111"/>
        <v>6</v>
      </c>
      <c r="W471" s="1" t="str">
        <f t="shared" si="112"/>
        <v>K</v>
      </c>
      <c r="X471" t="s">
        <v>39</v>
      </c>
      <c r="Y471" t="s">
        <v>149</v>
      </c>
      <c r="AJ471">
        <f t="shared" si="113"/>
        <v>110</v>
      </c>
      <c r="AK471">
        <f t="shared" si="114"/>
        <v>110</v>
      </c>
      <c r="AL471">
        <f t="shared" si="115"/>
        <v>6</v>
      </c>
      <c r="AM471">
        <f t="shared" si="105"/>
        <v>6</v>
      </c>
      <c r="AN471">
        <f t="shared" si="116"/>
        <v>6</v>
      </c>
      <c r="AO471">
        <f t="shared" si="117"/>
        <v>6</v>
      </c>
      <c r="AP471">
        <f t="shared" si="118"/>
        <v>0</v>
      </c>
      <c r="AQ471">
        <f t="shared" si="106"/>
        <v>0</v>
      </c>
      <c r="AR471">
        <f t="shared" si="119"/>
        <v>0</v>
      </c>
    </row>
    <row r="472" spans="1:44" x14ac:dyDescent="0.25">
      <c r="A472" t="s">
        <v>520</v>
      </c>
      <c r="B472">
        <v>0</v>
      </c>
      <c r="C472" t="s">
        <v>5</v>
      </c>
      <c r="D472" t="s">
        <v>6</v>
      </c>
      <c r="E472" t="s">
        <v>7</v>
      </c>
      <c r="F472" t="s">
        <v>2</v>
      </c>
      <c r="G472" t="s">
        <v>3</v>
      </c>
      <c r="H472" t="s">
        <v>4</v>
      </c>
      <c r="I472" s="1">
        <v>0</v>
      </c>
      <c r="J472" s="1" t="s">
        <v>5</v>
      </c>
      <c r="K472" s="1" t="s">
        <v>6</v>
      </c>
      <c r="L472" s="1" t="s">
        <v>7</v>
      </c>
      <c r="M472" s="1" t="b">
        <v>0</v>
      </c>
      <c r="N472" s="1"/>
      <c r="O472">
        <v>0</v>
      </c>
      <c r="P472">
        <v>1</v>
      </c>
      <c r="Q472">
        <v>7</v>
      </c>
      <c r="R472" s="1">
        <f t="shared" si="107"/>
        <v>0</v>
      </c>
      <c r="S472" s="1">
        <f t="shared" si="108"/>
        <v>0</v>
      </c>
      <c r="T472" s="1">
        <f t="shared" si="109"/>
        <v>1</v>
      </c>
      <c r="U472" s="1">
        <f t="shared" si="110"/>
        <v>1</v>
      </c>
      <c r="V472" s="1">
        <f t="shared" si="111"/>
        <v>7</v>
      </c>
      <c r="W472" s="1" t="str">
        <f t="shared" si="112"/>
        <v>K</v>
      </c>
      <c r="X472" t="s">
        <v>39</v>
      </c>
      <c r="Y472" t="s">
        <v>149</v>
      </c>
      <c r="AJ472">
        <f t="shared" si="113"/>
        <v>111</v>
      </c>
      <c r="AK472">
        <f t="shared" si="114"/>
        <v>111</v>
      </c>
      <c r="AL472">
        <f t="shared" si="115"/>
        <v>7</v>
      </c>
      <c r="AM472">
        <f t="shared" si="105"/>
        <v>7</v>
      </c>
      <c r="AN472">
        <f t="shared" si="116"/>
        <v>7</v>
      </c>
      <c r="AO472">
        <f t="shared" si="117"/>
        <v>7</v>
      </c>
      <c r="AP472">
        <f t="shared" si="118"/>
        <v>0</v>
      </c>
      <c r="AQ472">
        <f t="shared" si="106"/>
        <v>0</v>
      </c>
      <c r="AR472">
        <f t="shared" si="119"/>
        <v>0</v>
      </c>
    </row>
    <row r="473" spans="1:44" x14ac:dyDescent="0.25">
      <c r="A473" t="s">
        <v>521</v>
      </c>
      <c r="B473">
        <v>0</v>
      </c>
      <c r="I473" s="1">
        <v>0</v>
      </c>
      <c r="J473" s="1"/>
      <c r="K473" s="1"/>
      <c r="L473" s="1"/>
      <c r="M473" s="1" t="b">
        <v>0</v>
      </c>
      <c r="N473" s="1"/>
      <c r="O473">
        <v>0</v>
      </c>
      <c r="P473">
        <v>2</v>
      </c>
      <c r="Q473">
        <v>0</v>
      </c>
      <c r="R473" s="1">
        <f t="shared" si="107"/>
        <v>0</v>
      </c>
      <c r="S473" s="1">
        <f t="shared" si="108"/>
        <v>1</v>
      </c>
      <c r="T473" s="1">
        <f t="shared" si="109"/>
        <v>1</v>
      </c>
      <c r="U473" s="1">
        <f t="shared" si="110"/>
        <v>2</v>
      </c>
      <c r="V473" s="1">
        <f t="shared" si="111"/>
        <v>0</v>
      </c>
      <c r="W473" s="1" t="str">
        <f t="shared" si="112"/>
        <v>K</v>
      </c>
      <c r="X473" t="s">
        <v>39</v>
      </c>
      <c r="Y473" t="s">
        <v>149</v>
      </c>
      <c r="AJ473">
        <f t="shared" si="113"/>
        <v>0</v>
      </c>
      <c r="AK473">
        <f t="shared" si="114"/>
        <v>0</v>
      </c>
      <c r="AL473">
        <f t="shared" si="115"/>
        <v>0</v>
      </c>
      <c r="AM473">
        <f t="shared" si="105"/>
        <v>0</v>
      </c>
      <c r="AN473">
        <f t="shared" si="116"/>
        <v>0</v>
      </c>
      <c r="AO473">
        <f t="shared" si="117"/>
        <v>0</v>
      </c>
      <c r="AP473">
        <f t="shared" si="118"/>
        <v>0</v>
      </c>
      <c r="AQ473">
        <f t="shared" si="106"/>
        <v>0</v>
      </c>
      <c r="AR473">
        <f t="shared" si="119"/>
        <v>0</v>
      </c>
    </row>
    <row r="474" spans="1:44" x14ac:dyDescent="0.25">
      <c r="A474" t="s">
        <v>522</v>
      </c>
      <c r="B474">
        <v>0</v>
      </c>
      <c r="C474" t="s">
        <v>5</v>
      </c>
      <c r="F474" t="s">
        <v>2</v>
      </c>
      <c r="I474" s="1">
        <v>0</v>
      </c>
      <c r="J474" s="1" t="s">
        <v>5</v>
      </c>
      <c r="K474" s="1"/>
      <c r="L474" s="1"/>
      <c r="M474" s="1" t="b">
        <v>0</v>
      </c>
      <c r="N474" s="1"/>
      <c r="O474">
        <v>0</v>
      </c>
      <c r="P474">
        <v>2</v>
      </c>
      <c r="Q474">
        <v>1</v>
      </c>
      <c r="R474" s="1">
        <f t="shared" si="107"/>
        <v>0</v>
      </c>
      <c r="S474" s="1">
        <f t="shared" si="108"/>
        <v>1</v>
      </c>
      <c r="T474" s="1">
        <f t="shared" si="109"/>
        <v>1</v>
      </c>
      <c r="U474" s="1">
        <f t="shared" si="110"/>
        <v>2</v>
      </c>
      <c r="V474" s="1">
        <f t="shared" si="111"/>
        <v>1</v>
      </c>
      <c r="W474" s="1" t="str">
        <f t="shared" si="112"/>
        <v>K</v>
      </c>
      <c r="X474" t="s">
        <v>39</v>
      </c>
      <c r="Y474" t="s">
        <v>149</v>
      </c>
      <c r="AJ474">
        <f t="shared" si="113"/>
        <v>1</v>
      </c>
      <c r="AK474">
        <f t="shared" si="114"/>
        <v>1</v>
      </c>
      <c r="AL474">
        <f t="shared" si="115"/>
        <v>1</v>
      </c>
      <c r="AM474">
        <f t="shared" si="105"/>
        <v>1</v>
      </c>
      <c r="AN474">
        <f t="shared" si="116"/>
        <v>1</v>
      </c>
      <c r="AO474">
        <f t="shared" si="117"/>
        <v>1</v>
      </c>
      <c r="AP474">
        <f t="shared" si="118"/>
        <v>0</v>
      </c>
      <c r="AQ474">
        <f t="shared" si="106"/>
        <v>0</v>
      </c>
      <c r="AR474">
        <f t="shared" si="119"/>
        <v>0</v>
      </c>
    </row>
    <row r="475" spans="1:44" x14ac:dyDescent="0.25">
      <c r="A475" t="s">
        <v>523</v>
      </c>
      <c r="B475">
        <v>0</v>
      </c>
      <c r="D475" t="s">
        <v>6</v>
      </c>
      <c r="G475" t="s">
        <v>3</v>
      </c>
      <c r="I475" s="1">
        <v>0</v>
      </c>
      <c r="J475" s="1"/>
      <c r="K475" s="1" t="s">
        <v>6</v>
      </c>
      <c r="L475" s="1"/>
      <c r="M475" s="1" t="b">
        <v>0</v>
      </c>
      <c r="N475" s="1"/>
      <c r="O475">
        <v>0</v>
      </c>
      <c r="P475">
        <v>2</v>
      </c>
      <c r="Q475">
        <v>2</v>
      </c>
      <c r="R475" s="1">
        <f t="shared" si="107"/>
        <v>0</v>
      </c>
      <c r="S475" s="1">
        <f t="shared" si="108"/>
        <v>1</v>
      </c>
      <c r="T475" s="1">
        <f t="shared" si="109"/>
        <v>1</v>
      </c>
      <c r="U475" s="1">
        <f t="shared" si="110"/>
        <v>2</v>
      </c>
      <c r="V475" s="1">
        <f t="shared" si="111"/>
        <v>2</v>
      </c>
      <c r="W475" s="1" t="str">
        <f t="shared" si="112"/>
        <v>K</v>
      </c>
      <c r="X475" t="s">
        <v>39</v>
      </c>
      <c r="Y475" t="s">
        <v>149</v>
      </c>
      <c r="AJ475">
        <f t="shared" si="113"/>
        <v>10</v>
      </c>
      <c r="AK475">
        <f t="shared" si="114"/>
        <v>10</v>
      </c>
      <c r="AL475">
        <f t="shared" si="115"/>
        <v>2</v>
      </c>
      <c r="AM475">
        <f t="shared" si="105"/>
        <v>2</v>
      </c>
      <c r="AN475">
        <f t="shared" si="116"/>
        <v>2</v>
      </c>
      <c r="AO475">
        <f t="shared" si="117"/>
        <v>2</v>
      </c>
      <c r="AP475">
        <f t="shared" si="118"/>
        <v>0</v>
      </c>
      <c r="AQ475">
        <f t="shared" si="106"/>
        <v>0</v>
      </c>
      <c r="AR475">
        <f t="shared" si="119"/>
        <v>0</v>
      </c>
    </row>
    <row r="476" spans="1:44" x14ac:dyDescent="0.25">
      <c r="A476" t="s">
        <v>524</v>
      </c>
      <c r="B476">
        <v>0</v>
      </c>
      <c r="E476" t="s">
        <v>7</v>
      </c>
      <c r="H476" t="s">
        <v>4</v>
      </c>
      <c r="I476" s="1">
        <v>0</v>
      </c>
      <c r="J476" s="1"/>
      <c r="K476" s="1"/>
      <c r="L476" s="1" t="s">
        <v>7</v>
      </c>
      <c r="M476" s="1" t="b">
        <v>0</v>
      </c>
      <c r="N476" s="1"/>
      <c r="O476">
        <v>0</v>
      </c>
      <c r="P476">
        <v>2</v>
      </c>
      <c r="Q476">
        <v>3</v>
      </c>
      <c r="R476" s="1">
        <f t="shared" si="107"/>
        <v>0</v>
      </c>
      <c r="S476" s="1">
        <f t="shared" si="108"/>
        <v>1</v>
      </c>
      <c r="T476" s="1">
        <f t="shared" si="109"/>
        <v>1</v>
      </c>
      <c r="U476" s="1">
        <f t="shared" si="110"/>
        <v>2</v>
      </c>
      <c r="V476" s="1">
        <f t="shared" si="111"/>
        <v>3</v>
      </c>
      <c r="W476" s="1" t="str">
        <f t="shared" si="112"/>
        <v>K</v>
      </c>
      <c r="X476" t="s">
        <v>39</v>
      </c>
      <c r="Y476" t="s">
        <v>149</v>
      </c>
      <c r="AJ476">
        <f t="shared" si="113"/>
        <v>100</v>
      </c>
      <c r="AK476">
        <f t="shared" si="114"/>
        <v>100</v>
      </c>
      <c r="AL476">
        <f t="shared" si="115"/>
        <v>3</v>
      </c>
      <c r="AM476">
        <f t="shared" si="105"/>
        <v>3</v>
      </c>
      <c r="AN476">
        <f t="shared" si="116"/>
        <v>3</v>
      </c>
      <c r="AO476">
        <f t="shared" si="117"/>
        <v>3</v>
      </c>
      <c r="AP476">
        <f t="shared" si="118"/>
        <v>0</v>
      </c>
      <c r="AQ476">
        <f t="shared" si="106"/>
        <v>0</v>
      </c>
      <c r="AR476">
        <f t="shared" si="119"/>
        <v>0</v>
      </c>
    </row>
    <row r="477" spans="1:44" x14ac:dyDescent="0.25">
      <c r="A477" t="s">
        <v>525</v>
      </c>
      <c r="B477">
        <v>0</v>
      </c>
      <c r="C477" t="s">
        <v>5</v>
      </c>
      <c r="D477" t="s">
        <v>6</v>
      </c>
      <c r="F477" t="s">
        <v>2</v>
      </c>
      <c r="G477" t="s">
        <v>3</v>
      </c>
      <c r="I477" s="1">
        <v>0</v>
      </c>
      <c r="J477" s="1" t="s">
        <v>5</v>
      </c>
      <c r="K477" s="1" t="s">
        <v>6</v>
      </c>
      <c r="L477" s="1"/>
      <c r="M477" s="1" t="b">
        <v>0</v>
      </c>
      <c r="N477" s="1"/>
      <c r="O477">
        <v>0</v>
      </c>
      <c r="P477">
        <v>2</v>
      </c>
      <c r="Q477">
        <v>4</v>
      </c>
      <c r="R477" s="1">
        <f t="shared" si="107"/>
        <v>0</v>
      </c>
      <c r="S477" s="1">
        <f t="shared" si="108"/>
        <v>1</v>
      </c>
      <c r="T477" s="1">
        <f t="shared" si="109"/>
        <v>1</v>
      </c>
      <c r="U477" s="1">
        <f t="shared" si="110"/>
        <v>2</v>
      </c>
      <c r="V477" s="1">
        <f t="shared" si="111"/>
        <v>4</v>
      </c>
      <c r="W477" s="1" t="str">
        <f t="shared" si="112"/>
        <v>K</v>
      </c>
      <c r="X477" t="s">
        <v>39</v>
      </c>
      <c r="Y477" t="s">
        <v>149</v>
      </c>
      <c r="AJ477">
        <f t="shared" si="113"/>
        <v>11</v>
      </c>
      <c r="AK477">
        <f t="shared" si="114"/>
        <v>11</v>
      </c>
      <c r="AL477">
        <f t="shared" si="115"/>
        <v>4</v>
      </c>
      <c r="AM477">
        <f t="shared" si="105"/>
        <v>4</v>
      </c>
      <c r="AN477">
        <f t="shared" si="116"/>
        <v>4</v>
      </c>
      <c r="AO477">
        <f t="shared" si="117"/>
        <v>4</v>
      </c>
      <c r="AP477">
        <f t="shared" si="118"/>
        <v>0</v>
      </c>
      <c r="AQ477">
        <f t="shared" si="106"/>
        <v>0</v>
      </c>
      <c r="AR477">
        <f t="shared" si="119"/>
        <v>0</v>
      </c>
    </row>
    <row r="478" spans="1:44" x14ac:dyDescent="0.25">
      <c r="A478" t="s">
        <v>526</v>
      </c>
      <c r="B478">
        <v>0</v>
      </c>
      <c r="C478" t="s">
        <v>5</v>
      </c>
      <c r="E478" t="s">
        <v>7</v>
      </c>
      <c r="F478" t="s">
        <v>2</v>
      </c>
      <c r="H478" t="s">
        <v>4</v>
      </c>
      <c r="I478" s="1">
        <v>0</v>
      </c>
      <c r="J478" s="1" t="s">
        <v>5</v>
      </c>
      <c r="K478" s="1"/>
      <c r="L478" s="1" t="s">
        <v>7</v>
      </c>
      <c r="M478" s="1" t="b">
        <v>0</v>
      </c>
      <c r="N478" s="1"/>
      <c r="O478">
        <v>0</v>
      </c>
      <c r="P478">
        <v>2</v>
      </c>
      <c r="Q478">
        <v>5</v>
      </c>
      <c r="R478" s="1">
        <f t="shared" si="107"/>
        <v>0</v>
      </c>
      <c r="S478" s="1">
        <f t="shared" si="108"/>
        <v>1</v>
      </c>
      <c r="T478" s="1">
        <f t="shared" si="109"/>
        <v>1</v>
      </c>
      <c r="U478" s="1">
        <f t="shared" si="110"/>
        <v>2</v>
      </c>
      <c r="V478" s="1">
        <f t="shared" si="111"/>
        <v>5</v>
      </c>
      <c r="W478" s="1" t="str">
        <f t="shared" si="112"/>
        <v>K</v>
      </c>
      <c r="X478" t="s">
        <v>39</v>
      </c>
      <c r="Y478" t="s">
        <v>149</v>
      </c>
      <c r="AJ478">
        <f t="shared" si="113"/>
        <v>101</v>
      </c>
      <c r="AK478">
        <f t="shared" si="114"/>
        <v>101</v>
      </c>
      <c r="AL478">
        <f t="shared" si="115"/>
        <v>5</v>
      </c>
      <c r="AM478">
        <f t="shared" si="105"/>
        <v>5</v>
      </c>
      <c r="AN478">
        <f t="shared" si="116"/>
        <v>5</v>
      </c>
      <c r="AO478">
        <f t="shared" si="117"/>
        <v>5</v>
      </c>
      <c r="AP478">
        <f t="shared" si="118"/>
        <v>0</v>
      </c>
      <c r="AQ478">
        <f t="shared" si="106"/>
        <v>0</v>
      </c>
      <c r="AR478">
        <f t="shared" si="119"/>
        <v>0</v>
      </c>
    </row>
    <row r="479" spans="1:44" x14ac:dyDescent="0.25">
      <c r="A479" t="s">
        <v>527</v>
      </c>
      <c r="B479">
        <v>0</v>
      </c>
      <c r="D479" t="s">
        <v>6</v>
      </c>
      <c r="E479" t="s">
        <v>7</v>
      </c>
      <c r="G479" t="s">
        <v>3</v>
      </c>
      <c r="H479" t="s">
        <v>4</v>
      </c>
      <c r="I479" s="1">
        <v>0</v>
      </c>
      <c r="J479" s="1"/>
      <c r="K479" s="1" t="s">
        <v>6</v>
      </c>
      <c r="L479" s="1" t="s">
        <v>7</v>
      </c>
      <c r="M479" s="1" t="b">
        <v>0</v>
      </c>
      <c r="N479" s="1"/>
      <c r="O479">
        <v>0</v>
      </c>
      <c r="P479">
        <v>2</v>
      </c>
      <c r="Q479">
        <v>6</v>
      </c>
      <c r="R479" s="1">
        <f t="shared" si="107"/>
        <v>0</v>
      </c>
      <c r="S479" s="1">
        <f t="shared" si="108"/>
        <v>1</v>
      </c>
      <c r="T479" s="1">
        <f t="shared" si="109"/>
        <v>1</v>
      </c>
      <c r="U479" s="1">
        <f t="shared" si="110"/>
        <v>2</v>
      </c>
      <c r="V479" s="1">
        <f t="shared" si="111"/>
        <v>6</v>
      </c>
      <c r="W479" s="1" t="str">
        <f t="shared" si="112"/>
        <v>K</v>
      </c>
      <c r="X479" t="s">
        <v>39</v>
      </c>
      <c r="Y479" t="s">
        <v>149</v>
      </c>
      <c r="AJ479">
        <f t="shared" si="113"/>
        <v>110</v>
      </c>
      <c r="AK479">
        <f t="shared" si="114"/>
        <v>110</v>
      </c>
      <c r="AL479">
        <f t="shared" si="115"/>
        <v>6</v>
      </c>
      <c r="AM479">
        <f t="shared" si="105"/>
        <v>6</v>
      </c>
      <c r="AN479">
        <f t="shared" si="116"/>
        <v>6</v>
      </c>
      <c r="AO479">
        <f t="shared" si="117"/>
        <v>6</v>
      </c>
      <c r="AP479">
        <f t="shared" si="118"/>
        <v>0</v>
      </c>
      <c r="AQ479">
        <f t="shared" si="106"/>
        <v>0</v>
      </c>
      <c r="AR479">
        <f t="shared" si="119"/>
        <v>0</v>
      </c>
    </row>
    <row r="480" spans="1:44" x14ac:dyDescent="0.25">
      <c r="A480" t="s">
        <v>528</v>
      </c>
      <c r="B480">
        <v>0</v>
      </c>
      <c r="C480" t="s">
        <v>5</v>
      </c>
      <c r="D480" t="s">
        <v>6</v>
      </c>
      <c r="E480" t="s">
        <v>7</v>
      </c>
      <c r="F480" t="s">
        <v>2</v>
      </c>
      <c r="G480" t="s">
        <v>3</v>
      </c>
      <c r="H480" t="s">
        <v>4</v>
      </c>
      <c r="I480" s="1">
        <v>0</v>
      </c>
      <c r="J480" s="1" t="s">
        <v>5</v>
      </c>
      <c r="K480" s="1" t="s">
        <v>6</v>
      </c>
      <c r="L480" s="1" t="s">
        <v>7</v>
      </c>
      <c r="M480" s="1" t="b">
        <v>0</v>
      </c>
      <c r="N480" s="1"/>
      <c r="O480">
        <v>0</v>
      </c>
      <c r="P480">
        <v>2</v>
      </c>
      <c r="Q480">
        <v>7</v>
      </c>
      <c r="R480" s="1">
        <f t="shared" si="107"/>
        <v>0</v>
      </c>
      <c r="S480" s="1">
        <f t="shared" si="108"/>
        <v>1</v>
      </c>
      <c r="T480" s="1">
        <f t="shared" si="109"/>
        <v>1</v>
      </c>
      <c r="U480" s="1">
        <f t="shared" si="110"/>
        <v>2</v>
      </c>
      <c r="V480" s="1">
        <f t="shared" si="111"/>
        <v>7</v>
      </c>
      <c r="W480" s="1" t="str">
        <f t="shared" si="112"/>
        <v>K</v>
      </c>
      <c r="X480" t="s">
        <v>39</v>
      </c>
      <c r="Y480" t="s">
        <v>149</v>
      </c>
      <c r="AJ480">
        <f t="shared" si="113"/>
        <v>111</v>
      </c>
      <c r="AK480">
        <f t="shared" si="114"/>
        <v>111</v>
      </c>
      <c r="AL480">
        <f t="shared" si="115"/>
        <v>7</v>
      </c>
      <c r="AM480">
        <f t="shared" si="105"/>
        <v>7</v>
      </c>
      <c r="AN480">
        <f t="shared" si="116"/>
        <v>7</v>
      </c>
      <c r="AO480">
        <f t="shared" si="117"/>
        <v>7</v>
      </c>
      <c r="AP480">
        <f t="shared" si="118"/>
        <v>0</v>
      </c>
      <c r="AQ480">
        <f t="shared" si="106"/>
        <v>0</v>
      </c>
      <c r="AR480">
        <f t="shared" si="119"/>
        <v>0</v>
      </c>
    </row>
    <row r="481" spans="1:44" x14ac:dyDescent="0.25">
      <c r="A481" t="s">
        <v>529</v>
      </c>
      <c r="B481">
        <v>0</v>
      </c>
      <c r="I481" s="1">
        <v>0</v>
      </c>
      <c r="J481" s="1"/>
      <c r="K481" s="1"/>
      <c r="L481" s="1"/>
      <c r="M481" s="1" t="b">
        <v>0</v>
      </c>
      <c r="N481" s="1"/>
      <c r="O481">
        <v>0</v>
      </c>
      <c r="P481">
        <v>3</v>
      </c>
      <c r="Q481">
        <v>0</v>
      </c>
      <c r="R481" s="1">
        <f t="shared" si="107"/>
        <v>0</v>
      </c>
      <c r="S481" s="1">
        <f t="shared" si="108"/>
        <v>2</v>
      </c>
      <c r="T481" s="1">
        <f t="shared" si="109"/>
        <v>1</v>
      </c>
      <c r="U481" s="1">
        <f t="shared" si="110"/>
        <v>3</v>
      </c>
      <c r="V481" s="1">
        <f t="shared" si="111"/>
        <v>0</v>
      </c>
      <c r="W481" s="1" t="str">
        <f t="shared" si="112"/>
        <v>K</v>
      </c>
      <c r="X481" t="s">
        <v>39</v>
      </c>
      <c r="Y481" t="s">
        <v>149</v>
      </c>
      <c r="AJ481">
        <f t="shared" si="113"/>
        <v>0</v>
      </c>
      <c r="AK481">
        <f t="shared" si="114"/>
        <v>0</v>
      </c>
      <c r="AL481">
        <f t="shared" si="115"/>
        <v>0</v>
      </c>
      <c r="AM481">
        <f t="shared" si="105"/>
        <v>0</v>
      </c>
      <c r="AN481">
        <f t="shared" si="116"/>
        <v>0</v>
      </c>
      <c r="AO481">
        <f t="shared" si="117"/>
        <v>0</v>
      </c>
      <c r="AP481">
        <f t="shared" si="118"/>
        <v>0</v>
      </c>
      <c r="AQ481">
        <f t="shared" si="106"/>
        <v>0</v>
      </c>
      <c r="AR481">
        <f t="shared" si="119"/>
        <v>0</v>
      </c>
    </row>
    <row r="482" spans="1:44" x14ac:dyDescent="0.25">
      <c r="A482" t="s">
        <v>530</v>
      </c>
      <c r="B482">
        <v>0</v>
      </c>
      <c r="I482" s="1">
        <v>0</v>
      </c>
      <c r="J482" s="1" t="s">
        <v>5</v>
      </c>
      <c r="K482" s="1"/>
      <c r="L482" s="1"/>
      <c r="M482" s="1" t="b">
        <v>0</v>
      </c>
      <c r="N482" s="1"/>
      <c r="O482">
        <v>0</v>
      </c>
      <c r="P482">
        <v>3</v>
      </c>
      <c r="Q482">
        <v>0</v>
      </c>
      <c r="R482" s="1">
        <f t="shared" si="107"/>
        <v>0</v>
      </c>
      <c r="S482" s="1">
        <f t="shared" si="108"/>
        <v>2</v>
      </c>
      <c r="T482" s="1">
        <f t="shared" si="109"/>
        <v>1</v>
      </c>
      <c r="U482" s="1">
        <f t="shared" si="110"/>
        <v>3</v>
      </c>
      <c r="V482" s="1">
        <f t="shared" si="111"/>
        <v>1</v>
      </c>
      <c r="W482" s="1" t="str">
        <f t="shared" si="112"/>
        <v>K</v>
      </c>
      <c r="X482" t="s">
        <v>39</v>
      </c>
      <c r="Y482" t="s">
        <v>149</v>
      </c>
      <c r="AJ482">
        <f t="shared" si="113"/>
        <v>0</v>
      </c>
      <c r="AK482">
        <f t="shared" si="114"/>
        <v>0</v>
      </c>
      <c r="AL482">
        <f t="shared" si="115"/>
        <v>0</v>
      </c>
      <c r="AM482">
        <f t="shared" si="105"/>
        <v>0</v>
      </c>
      <c r="AN482">
        <f t="shared" si="116"/>
        <v>1</v>
      </c>
      <c r="AO482">
        <f t="shared" si="117"/>
        <v>0</v>
      </c>
      <c r="AP482">
        <f t="shared" si="118"/>
        <v>1</v>
      </c>
      <c r="AQ482">
        <f t="shared" si="106"/>
        <v>0</v>
      </c>
      <c r="AR482">
        <f t="shared" si="119"/>
        <v>1</v>
      </c>
    </row>
    <row r="483" spans="1:44" x14ac:dyDescent="0.25">
      <c r="A483" t="s">
        <v>531</v>
      </c>
      <c r="B483">
        <v>0</v>
      </c>
      <c r="I483" s="1">
        <v>0</v>
      </c>
      <c r="J483" s="1"/>
      <c r="K483" s="1" t="s">
        <v>6</v>
      </c>
      <c r="L483" s="1"/>
      <c r="M483" s="1" t="b">
        <v>0</v>
      </c>
      <c r="N483" s="1"/>
      <c r="O483">
        <v>0</v>
      </c>
      <c r="P483">
        <v>3</v>
      </c>
      <c r="Q483">
        <v>0</v>
      </c>
      <c r="R483" s="1">
        <f t="shared" si="107"/>
        <v>0</v>
      </c>
      <c r="S483" s="1">
        <f t="shared" si="108"/>
        <v>2</v>
      </c>
      <c r="T483" s="1">
        <f t="shared" si="109"/>
        <v>1</v>
      </c>
      <c r="U483" s="1">
        <f t="shared" si="110"/>
        <v>3</v>
      </c>
      <c r="V483" s="1">
        <f t="shared" si="111"/>
        <v>2</v>
      </c>
      <c r="W483" s="1" t="str">
        <f t="shared" si="112"/>
        <v>K</v>
      </c>
      <c r="X483" t="s">
        <v>39</v>
      </c>
      <c r="Y483" t="s">
        <v>149</v>
      </c>
      <c r="AJ483">
        <f t="shared" si="113"/>
        <v>0</v>
      </c>
      <c r="AK483">
        <f t="shared" si="114"/>
        <v>0</v>
      </c>
      <c r="AL483">
        <f t="shared" si="115"/>
        <v>0</v>
      </c>
      <c r="AM483">
        <f t="shared" si="105"/>
        <v>0</v>
      </c>
      <c r="AN483">
        <f t="shared" si="116"/>
        <v>2</v>
      </c>
      <c r="AO483">
        <f t="shared" si="117"/>
        <v>0</v>
      </c>
      <c r="AP483">
        <f t="shared" si="118"/>
        <v>1</v>
      </c>
      <c r="AQ483">
        <f t="shared" si="106"/>
        <v>0</v>
      </c>
      <c r="AR483">
        <f t="shared" si="119"/>
        <v>1</v>
      </c>
    </row>
    <row r="484" spans="1:44" x14ac:dyDescent="0.25">
      <c r="A484" t="s">
        <v>532</v>
      </c>
      <c r="B484">
        <v>0</v>
      </c>
      <c r="I484" s="1">
        <v>0</v>
      </c>
      <c r="J484" s="1"/>
      <c r="K484" s="1"/>
      <c r="L484" s="1" t="s">
        <v>7</v>
      </c>
      <c r="M484" s="1" t="b">
        <v>0</v>
      </c>
      <c r="N484" s="1"/>
      <c r="O484">
        <v>0</v>
      </c>
      <c r="P484">
        <v>3</v>
      </c>
      <c r="Q484">
        <v>0</v>
      </c>
      <c r="R484" s="1">
        <f t="shared" si="107"/>
        <v>0</v>
      </c>
      <c r="S484" s="1">
        <f t="shared" si="108"/>
        <v>2</v>
      </c>
      <c r="T484" s="1">
        <f t="shared" si="109"/>
        <v>1</v>
      </c>
      <c r="U484" s="1">
        <f t="shared" si="110"/>
        <v>3</v>
      </c>
      <c r="V484" s="1">
        <f t="shared" si="111"/>
        <v>3</v>
      </c>
      <c r="W484" s="1" t="str">
        <f t="shared" si="112"/>
        <v>K</v>
      </c>
      <c r="X484" t="s">
        <v>39</v>
      </c>
      <c r="Y484" t="s">
        <v>149</v>
      </c>
      <c r="AJ484">
        <f t="shared" si="113"/>
        <v>0</v>
      </c>
      <c r="AK484">
        <f t="shared" si="114"/>
        <v>0</v>
      </c>
      <c r="AL484">
        <f t="shared" si="115"/>
        <v>0</v>
      </c>
      <c r="AM484">
        <f t="shared" si="105"/>
        <v>0</v>
      </c>
      <c r="AN484">
        <f t="shared" si="116"/>
        <v>3</v>
      </c>
      <c r="AO484">
        <f t="shared" si="117"/>
        <v>0</v>
      </c>
      <c r="AP484">
        <f t="shared" si="118"/>
        <v>1</v>
      </c>
      <c r="AQ484">
        <f t="shared" si="106"/>
        <v>0</v>
      </c>
      <c r="AR484">
        <f t="shared" si="119"/>
        <v>1</v>
      </c>
    </row>
    <row r="485" spans="1:44" x14ac:dyDescent="0.25">
      <c r="A485" t="s">
        <v>533</v>
      </c>
      <c r="B485">
        <v>0</v>
      </c>
      <c r="I485" s="1">
        <v>0</v>
      </c>
      <c r="J485" s="1" t="s">
        <v>5</v>
      </c>
      <c r="K485" s="1" t="s">
        <v>6</v>
      </c>
      <c r="L485" s="1"/>
      <c r="M485" s="1" t="b">
        <v>0</v>
      </c>
      <c r="N485" s="1"/>
      <c r="O485">
        <v>0</v>
      </c>
      <c r="P485">
        <v>3</v>
      </c>
      <c r="Q485">
        <v>0</v>
      </c>
      <c r="R485" s="1">
        <f t="shared" si="107"/>
        <v>0</v>
      </c>
      <c r="S485" s="1">
        <f t="shared" si="108"/>
        <v>2</v>
      </c>
      <c r="T485" s="1">
        <f t="shared" si="109"/>
        <v>1</v>
      </c>
      <c r="U485" s="1">
        <f t="shared" si="110"/>
        <v>3</v>
      </c>
      <c r="V485" s="1">
        <f t="shared" si="111"/>
        <v>4</v>
      </c>
      <c r="W485" s="1" t="str">
        <f t="shared" si="112"/>
        <v>K</v>
      </c>
      <c r="X485" t="s">
        <v>39</v>
      </c>
      <c r="Y485" t="s">
        <v>149</v>
      </c>
      <c r="AJ485">
        <f t="shared" si="113"/>
        <v>0</v>
      </c>
      <c r="AK485">
        <f t="shared" si="114"/>
        <v>0</v>
      </c>
      <c r="AL485">
        <f t="shared" si="115"/>
        <v>0</v>
      </c>
      <c r="AM485">
        <f t="shared" si="105"/>
        <v>0</v>
      </c>
      <c r="AN485">
        <f t="shared" si="116"/>
        <v>4</v>
      </c>
      <c r="AO485">
        <f t="shared" si="117"/>
        <v>0</v>
      </c>
      <c r="AP485">
        <f t="shared" si="118"/>
        <v>1</v>
      </c>
      <c r="AQ485">
        <f t="shared" si="106"/>
        <v>0</v>
      </c>
      <c r="AR485">
        <f t="shared" si="119"/>
        <v>1</v>
      </c>
    </row>
    <row r="486" spans="1:44" x14ac:dyDescent="0.25">
      <c r="A486" t="s">
        <v>534</v>
      </c>
      <c r="B486">
        <v>0</v>
      </c>
      <c r="I486" s="1">
        <v>0</v>
      </c>
      <c r="J486" s="1" t="s">
        <v>5</v>
      </c>
      <c r="K486" s="1"/>
      <c r="L486" s="1" t="s">
        <v>7</v>
      </c>
      <c r="M486" s="1" t="b">
        <v>0</v>
      </c>
      <c r="N486" s="1"/>
      <c r="O486">
        <v>0</v>
      </c>
      <c r="P486">
        <v>3</v>
      </c>
      <c r="Q486">
        <v>0</v>
      </c>
      <c r="R486" s="1">
        <f t="shared" si="107"/>
        <v>0</v>
      </c>
      <c r="S486" s="1">
        <f t="shared" si="108"/>
        <v>2</v>
      </c>
      <c r="T486" s="1">
        <f t="shared" si="109"/>
        <v>1</v>
      </c>
      <c r="U486" s="1">
        <f t="shared" si="110"/>
        <v>3</v>
      </c>
      <c r="V486" s="1">
        <f t="shared" si="111"/>
        <v>5</v>
      </c>
      <c r="W486" s="1" t="str">
        <f t="shared" si="112"/>
        <v>K</v>
      </c>
      <c r="X486" t="s">
        <v>39</v>
      </c>
      <c r="Y486" t="s">
        <v>149</v>
      </c>
      <c r="AJ486">
        <f t="shared" si="113"/>
        <v>0</v>
      </c>
      <c r="AK486">
        <f t="shared" si="114"/>
        <v>0</v>
      </c>
      <c r="AL486">
        <f t="shared" si="115"/>
        <v>0</v>
      </c>
      <c r="AM486">
        <f t="shared" si="105"/>
        <v>0</v>
      </c>
      <c r="AN486">
        <f t="shared" si="116"/>
        <v>5</v>
      </c>
      <c r="AO486">
        <f t="shared" si="117"/>
        <v>0</v>
      </c>
      <c r="AP486">
        <f t="shared" si="118"/>
        <v>1</v>
      </c>
      <c r="AQ486">
        <f t="shared" si="106"/>
        <v>0</v>
      </c>
      <c r="AR486">
        <f t="shared" si="119"/>
        <v>1</v>
      </c>
    </row>
    <row r="487" spans="1:44" x14ac:dyDescent="0.25">
      <c r="A487" t="s">
        <v>535</v>
      </c>
      <c r="B487">
        <v>0</v>
      </c>
      <c r="I487" s="1">
        <v>0</v>
      </c>
      <c r="J487" s="1"/>
      <c r="K487" s="1" t="s">
        <v>6</v>
      </c>
      <c r="L487" s="1" t="s">
        <v>7</v>
      </c>
      <c r="M487" s="1" t="b">
        <v>0</v>
      </c>
      <c r="N487" s="1"/>
      <c r="O487">
        <v>0</v>
      </c>
      <c r="P487">
        <v>3</v>
      </c>
      <c r="Q487">
        <v>0</v>
      </c>
      <c r="R487" s="1">
        <f t="shared" si="107"/>
        <v>0</v>
      </c>
      <c r="S487" s="1">
        <f t="shared" si="108"/>
        <v>2</v>
      </c>
      <c r="T487" s="1">
        <f t="shared" si="109"/>
        <v>1</v>
      </c>
      <c r="U487" s="1">
        <f t="shared" si="110"/>
        <v>3</v>
      </c>
      <c r="V487" s="1">
        <f t="shared" si="111"/>
        <v>6</v>
      </c>
      <c r="W487" s="1" t="str">
        <f t="shared" si="112"/>
        <v>K</v>
      </c>
      <c r="X487" t="s">
        <v>39</v>
      </c>
      <c r="Y487" t="s">
        <v>149</v>
      </c>
      <c r="AJ487">
        <f t="shared" si="113"/>
        <v>0</v>
      </c>
      <c r="AK487">
        <f t="shared" si="114"/>
        <v>0</v>
      </c>
      <c r="AL487">
        <f t="shared" si="115"/>
        <v>0</v>
      </c>
      <c r="AM487">
        <f t="shared" si="105"/>
        <v>0</v>
      </c>
      <c r="AN487">
        <f t="shared" si="116"/>
        <v>6</v>
      </c>
      <c r="AO487">
        <f t="shared" si="117"/>
        <v>0</v>
      </c>
      <c r="AP487">
        <f t="shared" si="118"/>
        <v>1</v>
      </c>
      <c r="AQ487">
        <f t="shared" si="106"/>
        <v>0</v>
      </c>
      <c r="AR487">
        <f t="shared" si="119"/>
        <v>1</v>
      </c>
    </row>
    <row r="488" spans="1:44" x14ac:dyDescent="0.25">
      <c r="A488" t="s">
        <v>536</v>
      </c>
      <c r="B488">
        <v>0</v>
      </c>
      <c r="I488" s="1">
        <v>0</v>
      </c>
      <c r="J488" s="1" t="s">
        <v>5</v>
      </c>
      <c r="K488" s="1" t="s">
        <v>6</v>
      </c>
      <c r="L488" s="1" t="s">
        <v>7</v>
      </c>
      <c r="M488" s="1" t="b">
        <v>0</v>
      </c>
      <c r="N488" s="1"/>
      <c r="O488">
        <v>0</v>
      </c>
      <c r="P488">
        <v>3</v>
      </c>
      <c r="Q488">
        <v>0</v>
      </c>
      <c r="R488" s="1">
        <f t="shared" si="107"/>
        <v>0</v>
      </c>
      <c r="S488" s="1">
        <f t="shared" si="108"/>
        <v>2</v>
      </c>
      <c r="T488" s="1">
        <f t="shared" si="109"/>
        <v>1</v>
      </c>
      <c r="U488" s="1">
        <f t="shared" si="110"/>
        <v>3</v>
      </c>
      <c r="V488" s="1">
        <f t="shared" si="111"/>
        <v>7</v>
      </c>
      <c r="W488" s="1" t="str">
        <f t="shared" si="112"/>
        <v>K</v>
      </c>
      <c r="X488" t="s">
        <v>39</v>
      </c>
      <c r="Y488" t="s">
        <v>149</v>
      </c>
      <c r="AJ488">
        <f t="shared" si="113"/>
        <v>0</v>
      </c>
      <c r="AK488">
        <f t="shared" si="114"/>
        <v>0</v>
      </c>
      <c r="AL488">
        <f t="shared" si="115"/>
        <v>0</v>
      </c>
      <c r="AM488">
        <f t="shared" si="105"/>
        <v>0</v>
      </c>
      <c r="AN488">
        <f t="shared" si="116"/>
        <v>7</v>
      </c>
      <c r="AO488">
        <f t="shared" si="117"/>
        <v>0</v>
      </c>
      <c r="AP488">
        <f t="shared" si="118"/>
        <v>1</v>
      </c>
      <c r="AQ488">
        <f t="shared" si="106"/>
        <v>0</v>
      </c>
      <c r="AR488">
        <f t="shared" si="119"/>
        <v>1</v>
      </c>
    </row>
    <row r="489" spans="1:44" x14ac:dyDescent="0.25">
      <c r="A489" t="s">
        <v>537</v>
      </c>
      <c r="B489">
        <v>0</v>
      </c>
      <c r="I489" s="1">
        <v>0</v>
      </c>
      <c r="J489" s="1"/>
      <c r="K489" s="1"/>
      <c r="L489" s="1"/>
      <c r="M489" s="1" t="b">
        <v>0</v>
      </c>
      <c r="N489" s="1"/>
      <c r="O489">
        <v>0</v>
      </c>
      <c r="P489">
        <v>1</v>
      </c>
      <c r="Q489">
        <v>0</v>
      </c>
      <c r="R489" s="1">
        <f t="shared" si="107"/>
        <v>0</v>
      </c>
      <c r="S489" s="1">
        <f t="shared" si="108"/>
        <v>0</v>
      </c>
      <c r="T489" s="1">
        <f t="shared" si="109"/>
        <v>1</v>
      </c>
      <c r="U489" s="1">
        <f t="shared" si="110"/>
        <v>1</v>
      </c>
      <c r="V489" s="1">
        <f t="shared" si="111"/>
        <v>0</v>
      </c>
      <c r="W489" s="1" t="str">
        <f t="shared" si="112"/>
        <v>PO</v>
      </c>
      <c r="X489" t="s">
        <v>39</v>
      </c>
      <c r="Y489" t="s">
        <v>149</v>
      </c>
      <c r="AJ489">
        <f t="shared" si="113"/>
        <v>0</v>
      </c>
      <c r="AK489">
        <f t="shared" si="114"/>
        <v>0</v>
      </c>
      <c r="AL489">
        <f t="shared" si="115"/>
        <v>0</v>
      </c>
      <c r="AM489">
        <f t="shared" si="105"/>
        <v>0</v>
      </c>
      <c r="AN489">
        <f t="shared" si="116"/>
        <v>0</v>
      </c>
      <c r="AO489">
        <f t="shared" si="117"/>
        <v>0</v>
      </c>
      <c r="AP489">
        <f t="shared" si="118"/>
        <v>0</v>
      </c>
      <c r="AQ489">
        <f t="shared" si="106"/>
        <v>0</v>
      </c>
      <c r="AR489">
        <f t="shared" si="119"/>
        <v>0</v>
      </c>
    </row>
    <row r="490" spans="1:44" x14ac:dyDescent="0.25">
      <c r="A490" t="s">
        <v>538</v>
      </c>
      <c r="B490">
        <v>0</v>
      </c>
      <c r="C490" t="s">
        <v>5</v>
      </c>
      <c r="F490" t="s">
        <v>2</v>
      </c>
      <c r="I490" s="1">
        <v>0</v>
      </c>
      <c r="J490" s="1" t="s">
        <v>5</v>
      </c>
      <c r="K490" s="1"/>
      <c r="L490" s="1"/>
      <c r="M490" s="1" t="b">
        <v>0</v>
      </c>
      <c r="N490" s="1"/>
      <c r="O490">
        <v>0</v>
      </c>
      <c r="P490">
        <v>1</v>
      </c>
      <c r="Q490">
        <v>1</v>
      </c>
      <c r="R490" s="1">
        <f t="shared" si="107"/>
        <v>0</v>
      </c>
      <c r="S490" s="1">
        <f t="shared" si="108"/>
        <v>0</v>
      </c>
      <c r="T490" s="1">
        <f t="shared" si="109"/>
        <v>1</v>
      </c>
      <c r="U490" s="1">
        <f t="shared" si="110"/>
        <v>1</v>
      </c>
      <c r="V490" s="1">
        <f t="shared" si="111"/>
        <v>1</v>
      </c>
      <c r="W490" s="1" t="str">
        <f t="shared" si="112"/>
        <v>PO</v>
      </c>
      <c r="X490" t="s">
        <v>39</v>
      </c>
      <c r="Y490" t="s">
        <v>149</v>
      </c>
      <c r="AJ490">
        <f t="shared" si="113"/>
        <v>1</v>
      </c>
      <c r="AK490">
        <f t="shared" si="114"/>
        <v>1</v>
      </c>
      <c r="AL490">
        <f t="shared" si="115"/>
        <v>1</v>
      </c>
      <c r="AM490">
        <f t="shared" si="105"/>
        <v>1</v>
      </c>
      <c r="AN490">
        <f t="shared" si="116"/>
        <v>1</v>
      </c>
      <c r="AO490">
        <f t="shared" si="117"/>
        <v>1</v>
      </c>
      <c r="AP490">
        <f t="shared" si="118"/>
        <v>0</v>
      </c>
      <c r="AQ490">
        <f t="shared" si="106"/>
        <v>0</v>
      </c>
      <c r="AR490">
        <f t="shared" si="119"/>
        <v>0</v>
      </c>
    </row>
    <row r="491" spans="1:44" x14ac:dyDescent="0.25">
      <c r="A491" t="s">
        <v>539</v>
      </c>
      <c r="B491">
        <v>0</v>
      </c>
      <c r="D491" t="s">
        <v>6</v>
      </c>
      <c r="G491" t="s">
        <v>3</v>
      </c>
      <c r="I491" s="1">
        <v>0</v>
      </c>
      <c r="J491" s="1"/>
      <c r="K491" s="1" t="s">
        <v>6</v>
      </c>
      <c r="L491" s="1"/>
      <c r="M491" s="1" t="b">
        <v>0</v>
      </c>
      <c r="N491" s="1"/>
      <c r="O491">
        <v>0</v>
      </c>
      <c r="P491">
        <v>1</v>
      </c>
      <c r="Q491">
        <v>2</v>
      </c>
      <c r="R491" s="1">
        <f t="shared" si="107"/>
        <v>0</v>
      </c>
      <c r="S491" s="1">
        <f t="shared" si="108"/>
        <v>0</v>
      </c>
      <c r="T491" s="1">
        <f t="shared" si="109"/>
        <v>1</v>
      </c>
      <c r="U491" s="1">
        <f t="shared" si="110"/>
        <v>1</v>
      </c>
      <c r="V491" s="1">
        <f t="shared" si="111"/>
        <v>2</v>
      </c>
      <c r="W491" s="1" t="str">
        <f t="shared" si="112"/>
        <v>PO</v>
      </c>
      <c r="X491" t="s">
        <v>39</v>
      </c>
      <c r="Y491" t="s">
        <v>149</v>
      </c>
      <c r="AJ491">
        <f t="shared" si="113"/>
        <v>10</v>
      </c>
      <c r="AK491">
        <f t="shared" si="114"/>
        <v>10</v>
      </c>
      <c r="AL491">
        <f t="shared" si="115"/>
        <v>2</v>
      </c>
      <c r="AM491">
        <f t="shared" si="105"/>
        <v>2</v>
      </c>
      <c r="AN491">
        <f t="shared" si="116"/>
        <v>2</v>
      </c>
      <c r="AO491">
        <f t="shared" si="117"/>
        <v>2</v>
      </c>
      <c r="AP491">
        <f t="shared" si="118"/>
        <v>0</v>
      </c>
      <c r="AQ491">
        <f t="shared" si="106"/>
        <v>0</v>
      </c>
      <c r="AR491">
        <f t="shared" si="119"/>
        <v>0</v>
      </c>
    </row>
    <row r="492" spans="1:44" x14ac:dyDescent="0.25">
      <c r="A492" t="s">
        <v>540</v>
      </c>
      <c r="B492">
        <v>0</v>
      </c>
      <c r="E492" t="s">
        <v>7</v>
      </c>
      <c r="H492" t="s">
        <v>4</v>
      </c>
      <c r="I492" s="1">
        <v>0</v>
      </c>
      <c r="J492" s="1"/>
      <c r="K492" s="1"/>
      <c r="L492" s="1" t="s">
        <v>7</v>
      </c>
      <c r="M492" s="1" t="b">
        <v>0</v>
      </c>
      <c r="N492" s="1"/>
      <c r="O492">
        <v>0</v>
      </c>
      <c r="P492">
        <v>1</v>
      </c>
      <c r="Q492">
        <v>3</v>
      </c>
      <c r="R492" s="1">
        <f t="shared" si="107"/>
        <v>0</v>
      </c>
      <c r="S492" s="1">
        <f t="shared" si="108"/>
        <v>0</v>
      </c>
      <c r="T492" s="1">
        <f t="shared" si="109"/>
        <v>1</v>
      </c>
      <c r="U492" s="1">
        <f t="shared" si="110"/>
        <v>1</v>
      </c>
      <c r="V492" s="1">
        <f t="shared" si="111"/>
        <v>3</v>
      </c>
      <c r="W492" s="1" t="str">
        <f t="shared" si="112"/>
        <v>PO</v>
      </c>
      <c r="X492" t="s">
        <v>39</v>
      </c>
      <c r="Y492" t="s">
        <v>149</v>
      </c>
      <c r="AJ492">
        <f t="shared" si="113"/>
        <v>100</v>
      </c>
      <c r="AK492">
        <f t="shared" si="114"/>
        <v>100</v>
      </c>
      <c r="AL492">
        <f t="shared" si="115"/>
        <v>3</v>
      </c>
      <c r="AM492">
        <f t="shared" si="105"/>
        <v>3</v>
      </c>
      <c r="AN492">
        <f t="shared" si="116"/>
        <v>3</v>
      </c>
      <c r="AO492">
        <f t="shared" si="117"/>
        <v>3</v>
      </c>
      <c r="AP492">
        <f t="shared" si="118"/>
        <v>0</v>
      </c>
      <c r="AQ492">
        <f t="shared" si="106"/>
        <v>0</v>
      </c>
      <c r="AR492">
        <f t="shared" si="119"/>
        <v>0</v>
      </c>
    </row>
    <row r="493" spans="1:44" x14ac:dyDescent="0.25">
      <c r="A493" t="s">
        <v>541</v>
      </c>
      <c r="B493">
        <v>0</v>
      </c>
      <c r="C493" t="s">
        <v>5</v>
      </c>
      <c r="D493" t="s">
        <v>6</v>
      </c>
      <c r="F493" t="s">
        <v>2</v>
      </c>
      <c r="G493" t="s">
        <v>3</v>
      </c>
      <c r="I493" s="1">
        <v>0</v>
      </c>
      <c r="J493" s="1" t="s">
        <v>5</v>
      </c>
      <c r="K493" s="1" t="s">
        <v>6</v>
      </c>
      <c r="L493" s="1"/>
      <c r="M493" s="1" t="b">
        <v>0</v>
      </c>
      <c r="N493" s="1"/>
      <c r="O493">
        <v>0</v>
      </c>
      <c r="P493">
        <v>1</v>
      </c>
      <c r="Q493">
        <v>4</v>
      </c>
      <c r="R493" s="1">
        <f t="shared" si="107"/>
        <v>0</v>
      </c>
      <c r="S493" s="1">
        <f t="shared" si="108"/>
        <v>0</v>
      </c>
      <c r="T493" s="1">
        <f t="shared" si="109"/>
        <v>1</v>
      </c>
      <c r="U493" s="1">
        <f t="shared" si="110"/>
        <v>1</v>
      </c>
      <c r="V493" s="1">
        <f t="shared" si="111"/>
        <v>4</v>
      </c>
      <c r="W493" s="1" t="str">
        <f t="shared" si="112"/>
        <v>PO</v>
      </c>
      <c r="X493" t="s">
        <v>39</v>
      </c>
      <c r="Y493" t="s">
        <v>149</v>
      </c>
      <c r="AJ493">
        <f t="shared" si="113"/>
        <v>11</v>
      </c>
      <c r="AK493">
        <f t="shared" si="114"/>
        <v>11</v>
      </c>
      <c r="AL493">
        <f t="shared" si="115"/>
        <v>4</v>
      </c>
      <c r="AM493">
        <f t="shared" si="105"/>
        <v>4</v>
      </c>
      <c r="AN493">
        <f t="shared" si="116"/>
        <v>4</v>
      </c>
      <c r="AO493">
        <f t="shared" si="117"/>
        <v>4</v>
      </c>
      <c r="AP493">
        <f t="shared" si="118"/>
        <v>0</v>
      </c>
      <c r="AQ493">
        <f t="shared" si="106"/>
        <v>0</v>
      </c>
      <c r="AR493">
        <f t="shared" si="119"/>
        <v>0</v>
      </c>
    </row>
    <row r="494" spans="1:44" x14ac:dyDescent="0.25">
      <c r="A494" t="s">
        <v>542</v>
      </c>
      <c r="B494">
        <v>0</v>
      </c>
      <c r="C494" t="s">
        <v>5</v>
      </c>
      <c r="E494" t="s">
        <v>7</v>
      </c>
      <c r="F494" t="s">
        <v>2</v>
      </c>
      <c r="H494" t="s">
        <v>4</v>
      </c>
      <c r="I494" s="1">
        <v>0</v>
      </c>
      <c r="J494" s="1" t="s">
        <v>5</v>
      </c>
      <c r="K494" s="1"/>
      <c r="L494" s="1" t="s">
        <v>7</v>
      </c>
      <c r="M494" s="1" t="b">
        <v>0</v>
      </c>
      <c r="N494" s="1"/>
      <c r="O494">
        <v>0</v>
      </c>
      <c r="P494">
        <v>1</v>
      </c>
      <c r="Q494">
        <v>5</v>
      </c>
      <c r="R494" s="1">
        <f t="shared" si="107"/>
        <v>0</v>
      </c>
      <c r="S494" s="1">
        <f t="shared" si="108"/>
        <v>0</v>
      </c>
      <c r="T494" s="1">
        <f t="shared" si="109"/>
        <v>1</v>
      </c>
      <c r="U494" s="1">
        <f t="shared" si="110"/>
        <v>1</v>
      </c>
      <c r="V494" s="1">
        <f t="shared" si="111"/>
        <v>5</v>
      </c>
      <c r="W494" s="1" t="str">
        <f t="shared" si="112"/>
        <v>PO</v>
      </c>
      <c r="X494" t="s">
        <v>39</v>
      </c>
      <c r="Y494" t="s">
        <v>149</v>
      </c>
      <c r="AJ494">
        <f t="shared" si="113"/>
        <v>101</v>
      </c>
      <c r="AK494">
        <f t="shared" si="114"/>
        <v>101</v>
      </c>
      <c r="AL494">
        <f t="shared" si="115"/>
        <v>5</v>
      </c>
      <c r="AM494">
        <f t="shared" si="105"/>
        <v>5</v>
      </c>
      <c r="AN494">
        <f t="shared" si="116"/>
        <v>5</v>
      </c>
      <c r="AO494">
        <f t="shared" si="117"/>
        <v>5</v>
      </c>
      <c r="AP494">
        <f t="shared" si="118"/>
        <v>0</v>
      </c>
      <c r="AQ494">
        <f t="shared" si="106"/>
        <v>0</v>
      </c>
      <c r="AR494">
        <f t="shared" si="119"/>
        <v>0</v>
      </c>
    </row>
    <row r="495" spans="1:44" x14ac:dyDescent="0.25">
      <c r="A495" t="s">
        <v>543</v>
      </c>
      <c r="B495">
        <v>0</v>
      </c>
      <c r="D495" t="s">
        <v>6</v>
      </c>
      <c r="E495" t="s">
        <v>7</v>
      </c>
      <c r="G495" t="s">
        <v>3</v>
      </c>
      <c r="H495" t="s">
        <v>4</v>
      </c>
      <c r="I495" s="1">
        <v>0</v>
      </c>
      <c r="J495" s="1"/>
      <c r="K495" s="1" t="s">
        <v>6</v>
      </c>
      <c r="L495" s="1" t="s">
        <v>7</v>
      </c>
      <c r="M495" s="1" t="b">
        <v>0</v>
      </c>
      <c r="N495" s="1"/>
      <c r="O495">
        <v>0</v>
      </c>
      <c r="P495">
        <v>1</v>
      </c>
      <c r="Q495">
        <v>6</v>
      </c>
      <c r="R495" s="1">
        <f t="shared" si="107"/>
        <v>0</v>
      </c>
      <c r="S495" s="1">
        <f t="shared" si="108"/>
        <v>0</v>
      </c>
      <c r="T495" s="1">
        <f t="shared" si="109"/>
        <v>1</v>
      </c>
      <c r="U495" s="1">
        <f t="shared" si="110"/>
        <v>1</v>
      </c>
      <c r="V495" s="1">
        <f t="shared" si="111"/>
        <v>6</v>
      </c>
      <c r="W495" s="1" t="str">
        <f t="shared" si="112"/>
        <v>PO</v>
      </c>
      <c r="X495" t="s">
        <v>39</v>
      </c>
      <c r="Y495" t="s">
        <v>149</v>
      </c>
      <c r="AJ495">
        <f t="shared" si="113"/>
        <v>110</v>
      </c>
      <c r="AK495">
        <f t="shared" si="114"/>
        <v>110</v>
      </c>
      <c r="AL495">
        <f t="shared" si="115"/>
        <v>6</v>
      </c>
      <c r="AM495">
        <f t="shared" si="105"/>
        <v>6</v>
      </c>
      <c r="AN495">
        <f t="shared" si="116"/>
        <v>6</v>
      </c>
      <c r="AO495">
        <f t="shared" si="117"/>
        <v>6</v>
      </c>
      <c r="AP495">
        <f t="shared" si="118"/>
        <v>0</v>
      </c>
      <c r="AQ495">
        <f t="shared" si="106"/>
        <v>0</v>
      </c>
      <c r="AR495">
        <f t="shared" si="119"/>
        <v>0</v>
      </c>
    </row>
    <row r="496" spans="1:44" x14ac:dyDescent="0.25">
      <c r="A496" t="s">
        <v>544</v>
      </c>
      <c r="B496">
        <v>0</v>
      </c>
      <c r="C496" t="s">
        <v>5</v>
      </c>
      <c r="D496" t="s">
        <v>6</v>
      </c>
      <c r="E496" t="s">
        <v>7</v>
      </c>
      <c r="F496" t="s">
        <v>2</v>
      </c>
      <c r="G496" t="s">
        <v>3</v>
      </c>
      <c r="H496" t="s">
        <v>4</v>
      </c>
      <c r="I496" s="1">
        <v>0</v>
      </c>
      <c r="J496" s="1" t="s">
        <v>5</v>
      </c>
      <c r="K496" s="1" t="s">
        <v>6</v>
      </c>
      <c r="L496" s="1" t="s">
        <v>7</v>
      </c>
      <c r="M496" s="1" t="b">
        <v>0</v>
      </c>
      <c r="N496" s="1"/>
      <c r="O496">
        <v>0</v>
      </c>
      <c r="P496">
        <v>1</v>
      </c>
      <c r="Q496">
        <v>7</v>
      </c>
      <c r="R496" s="1">
        <f t="shared" si="107"/>
        <v>0</v>
      </c>
      <c r="S496" s="1">
        <f t="shared" si="108"/>
        <v>0</v>
      </c>
      <c r="T496" s="1">
        <f t="shared" si="109"/>
        <v>1</v>
      </c>
      <c r="U496" s="1">
        <f t="shared" si="110"/>
        <v>1</v>
      </c>
      <c r="V496" s="1">
        <f t="shared" si="111"/>
        <v>7</v>
      </c>
      <c r="W496" s="1" t="str">
        <f t="shared" si="112"/>
        <v>PO</v>
      </c>
      <c r="X496" t="s">
        <v>39</v>
      </c>
      <c r="Y496" t="s">
        <v>149</v>
      </c>
      <c r="AJ496">
        <f t="shared" si="113"/>
        <v>111</v>
      </c>
      <c r="AK496">
        <f t="shared" si="114"/>
        <v>111</v>
      </c>
      <c r="AL496">
        <f t="shared" si="115"/>
        <v>7</v>
      </c>
      <c r="AM496">
        <f t="shared" si="105"/>
        <v>7</v>
      </c>
      <c r="AN496">
        <f t="shared" si="116"/>
        <v>7</v>
      </c>
      <c r="AO496">
        <f t="shared" si="117"/>
        <v>7</v>
      </c>
      <c r="AP496">
        <f t="shared" si="118"/>
        <v>0</v>
      </c>
      <c r="AQ496">
        <f t="shared" si="106"/>
        <v>0</v>
      </c>
      <c r="AR496">
        <f t="shared" si="119"/>
        <v>0</v>
      </c>
    </row>
    <row r="497" spans="1:44" x14ac:dyDescent="0.25">
      <c r="A497" t="s">
        <v>545</v>
      </c>
      <c r="B497">
        <v>0</v>
      </c>
      <c r="I497" s="1">
        <v>0</v>
      </c>
      <c r="J497" s="1"/>
      <c r="K497" s="1"/>
      <c r="L497" s="1"/>
      <c r="M497" s="1" t="b">
        <v>0</v>
      </c>
      <c r="N497" s="1"/>
      <c r="O497">
        <v>0</v>
      </c>
      <c r="P497">
        <v>2</v>
      </c>
      <c r="Q497">
        <v>0</v>
      </c>
      <c r="R497" s="1">
        <f t="shared" si="107"/>
        <v>0</v>
      </c>
      <c r="S497" s="1">
        <f t="shared" si="108"/>
        <v>1</v>
      </c>
      <c r="T497" s="1">
        <f t="shared" si="109"/>
        <v>1</v>
      </c>
      <c r="U497" s="1">
        <f t="shared" si="110"/>
        <v>2</v>
      </c>
      <c r="V497" s="1">
        <f t="shared" si="111"/>
        <v>0</v>
      </c>
      <c r="W497" s="1" t="str">
        <f t="shared" si="112"/>
        <v>PO</v>
      </c>
      <c r="X497" t="s">
        <v>39</v>
      </c>
      <c r="Y497" t="s">
        <v>149</v>
      </c>
      <c r="AJ497">
        <f t="shared" si="113"/>
        <v>0</v>
      </c>
      <c r="AK497">
        <f t="shared" si="114"/>
        <v>0</v>
      </c>
      <c r="AL497">
        <f t="shared" si="115"/>
        <v>0</v>
      </c>
      <c r="AM497">
        <f t="shared" si="105"/>
        <v>0</v>
      </c>
      <c r="AN497">
        <f t="shared" si="116"/>
        <v>0</v>
      </c>
      <c r="AO497">
        <f t="shared" si="117"/>
        <v>0</v>
      </c>
      <c r="AP497">
        <f t="shared" si="118"/>
        <v>0</v>
      </c>
      <c r="AQ497">
        <f t="shared" si="106"/>
        <v>0</v>
      </c>
      <c r="AR497">
        <f t="shared" si="119"/>
        <v>0</v>
      </c>
    </row>
    <row r="498" spans="1:44" x14ac:dyDescent="0.25">
      <c r="A498" t="s">
        <v>546</v>
      </c>
      <c r="B498">
        <v>0</v>
      </c>
      <c r="C498" t="s">
        <v>5</v>
      </c>
      <c r="F498" t="s">
        <v>2</v>
      </c>
      <c r="I498" s="1">
        <v>0</v>
      </c>
      <c r="J498" s="1" t="s">
        <v>5</v>
      </c>
      <c r="K498" s="1"/>
      <c r="L498" s="1"/>
      <c r="M498" s="1" t="b">
        <v>0</v>
      </c>
      <c r="N498" s="1"/>
      <c r="O498">
        <v>0</v>
      </c>
      <c r="P498">
        <v>2</v>
      </c>
      <c r="Q498">
        <v>1</v>
      </c>
      <c r="R498" s="1">
        <f t="shared" si="107"/>
        <v>0</v>
      </c>
      <c r="S498" s="1">
        <f t="shared" si="108"/>
        <v>1</v>
      </c>
      <c r="T498" s="1">
        <f t="shared" si="109"/>
        <v>1</v>
      </c>
      <c r="U498" s="1">
        <f t="shared" si="110"/>
        <v>2</v>
      </c>
      <c r="V498" s="1">
        <f t="shared" si="111"/>
        <v>1</v>
      </c>
      <c r="W498" s="1" t="str">
        <f t="shared" si="112"/>
        <v>PO</v>
      </c>
      <c r="X498" t="s">
        <v>39</v>
      </c>
      <c r="Y498" t="s">
        <v>149</v>
      </c>
      <c r="AJ498">
        <f t="shared" si="113"/>
        <v>1</v>
      </c>
      <c r="AK498">
        <f t="shared" si="114"/>
        <v>1</v>
      </c>
      <c r="AL498">
        <f t="shared" si="115"/>
        <v>1</v>
      </c>
      <c r="AM498">
        <f t="shared" si="105"/>
        <v>1</v>
      </c>
      <c r="AN498">
        <f t="shared" si="116"/>
        <v>1</v>
      </c>
      <c r="AO498">
        <f t="shared" si="117"/>
        <v>1</v>
      </c>
      <c r="AP498">
        <f t="shared" si="118"/>
        <v>0</v>
      </c>
      <c r="AQ498">
        <f t="shared" si="106"/>
        <v>0</v>
      </c>
      <c r="AR498">
        <f t="shared" si="119"/>
        <v>0</v>
      </c>
    </row>
    <row r="499" spans="1:44" x14ac:dyDescent="0.25">
      <c r="A499" t="s">
        <v>547</v>
      </c>
      <c r="B499">
        <v>0</v>
      </c>
      <c r="D499" t="s">
        <v>6</v>
      </c>
      <c r="G499" t="s">
        <v>3</v>
      </c>
      <c r="I499" s="1">
        <v>0</v>
      </c>
      <c r="J499" s="1"/>
      <c r="K499" s="1" t="s">
        <v>6</v>
      </c>
      <c r="L499" s="1"/>
      <c r="M499" s="1" t="b">
        <v>0</v>
      </c>
      <c r="N499" s="1"/>
      <c r="O499">
        <v>0</v>
      </c>
      <c r="P499">
        <v>2</v>
      </c>
      <c r="Q499">
        <v>2</v>
      </c>
      <c r="R499" s="1">
        <f t="shared" si="107"/>
        <v>0</v>
      </c>
      <c r="S499" s="1">
        <f t="shared" si="108"/>
        <v>1</v>
      </c>
      <c r="T499" s="1">
        <f t="shared" si="109"/>
        <v>1</v>
      </c>
      <c r="U499" s="1">
        <f t="shared" si="110"/>
        <v>2</v>
      </c>
      <c r="V499" s="1">
        <f t="shared" si="111"/>
        <v>2</v>
      </c>
      <c r="W499" s="1" t="str">
        <f t="shared" si="112"/>
        <v>PO</v>
      </c>
      <c r="X499" t="s">
        <v>39</v>
      </c>
      <c r="Y499" t="s">
        <v>149</v>
      </c>
      <c r="AJ499">
        <f t="shared" si="113"/>
        <v>10</v>
      </c>
      <c r="AK499">
        <f t="shared" si="114"/>
        <v>10</v>
      </c>
      <c r="AL499">
        <f t="shared" si="115"/>
        <v>2</v>
      </c>
      <c r="AM499">
        <f t="shared" si="105"/>
        <v>2</v>
      </c>
      <c r="AN499">
        <f t="shared" si="116"/>
        <v>2</v>
      </c>
      <c r="AO499">
        <f t="shared" si="117"/>
        <v>2</v>
      </c>
      <c r="AP499">
        <f t="shared" si="118"/>
        <v>0</v>
      </c>
      <c r="AQ499">
        <f t="shared" si="106"/>
        <v>0</v>
      </c>
      <c r="AR499">
        <f t="shared" si="119"/>
        <v>0</v>
      </c>
    </row>
    <row r="500" spans="1:44" x14ac:dyDescent="0.25">
      <c r="A500" t="s">
        <v>548</v>
      </c>
      <c r="B500">
        <v>0</v>
      </c>
      <c r="E500" t="s">
        <v>7</v>
      </c>
      <c r="H500" t="s">
        <v>4</v>
      </c>
      <c r="I500" s="1">
        <v>0</v>
      </c>
      <c r="J500" s="1"/>
      <c r="K500" s="1"/>
      <c r="L500" s="1" t="s">
        <v>7</v>
      </c>
      <c r="M500" s="1" t="b">
        <v>0</v>
      </c>
      <c r="N500" s="1"/>
      <c r="O500">
        <v>0</v>
      </c>
      <c r="P500">
        <v>2</v>
      </c>
      <c r="Q500">
        <v>3</v>
      </c>
      <c r="R500" s="1">
        <f t="shared" si="107"/>
        <v>0</v>
      </c>
      <c r="S500" s="1">
        <f t="shared" si="108"/>
        <v>1</v>
      </c>
      <c r="T500" s="1">
        <f t="shared" si="109"/>
        <v>1</v>
      </c>
      <c r="U500" s="1">
        <f t="shared" si="110"/>
        <v>2</v>
      </c>
      <c r="V500" s="1">
        <f t="shared" si="111"/>
        <v>3</v>
      </c>
      <c r="W500" s="1" t="str">
        <f t="shared" si="112"/>
        <v>PO</v>
      </c>
      <c r="X500" t="s">
        <v>39</v>
      </c>
      <c r="Y500" t="s">
        <v>149</v>
      </c>
      <c r="AJ500">
        <f t="shared" si="113"/>
        <v>100</v>
      </c>
      <c r="AK500">
        <f t="shared" si="114"/>
        <v>100</v>
      </c>
      <c r="AL500">
        <f t="shared" si="115"/>
        <v>3</v>
      </c>
      <c r="AM500">
        <f t="shared" si="105"/>
        <v>3</v>
      </c>
      <c r="AN500">
        <f t="shared" si="116"/>
        <v>3</v>
      </c>
      <c r="AO500">
        <f t="shared" si="117"/>
        <v>3</v>
      </c>
      <c r="AP500">
        <f t="shared" si="118"/>
        <v>0</v>
      </c>
      <c r="AQ500">
        <f t="shared" si="106"/>
        <v>0</v>
      </c>
      <c r="AR500">
        <f t="shared" si="119"/>
        <v>0</v>
      </c>
    </row>
    <row r="501" spans="1:44" x14ac:dyDescent="0.25">
      <c r="A501" t="s">
        <v>549</v>
      </c>
      <c r="B501">
        <v>0</v>
      </c>
      <c r="C501" t="s">
        <v>5</v>
      </c>
      <c r="D501" t="s">
        <v>6</v>
      </c>
      <c r="F501" t="s">
        <v>2</v>
      </c>
      <c r="G501" t="s">
        <v>3</v>
      </c>
      <c r="I501" s="1">
        <v>0</v>
      </c>
      <c r="J501" s="1" t="s">
        <v>5</v>
      </c>
      <c r="K501" s="1" t="s">
        <v>6</v>
      </c>
      <c r="L501" s="1"/>
      <c r="M501" s="1" t="b">
        <v>0</v>
      </c>
      <c r="N501" s="1"/>
      <c r="O501">
        <v>0</v>
      </c>
      <c r="P501">
        <v>2</v>
      </c>
      <c r="Q501">
        <v>4</v>
      </c>
      <c r="R501" s="1">
        <f t="shared" si="107"/>
        <v>0</v>
      </c>
      <c r="S501" s="1">
        <f t="shared" si="108"/>
        <v>1</v>
      </c>
      <c r="T501" s="1">
        <f t="shared" si="109"/>
        <v>1</v>
      </c>
      <c r="U501" s="1">
        <f t="shared" si="110"/>
        <v>2</v>
      </c>
      <c r="V501" s="1">
        <f t="shared" si="111"/>
        <v>4</v>
      </c>
      <c r="W501" s="1" t="str">
        <f t="shared" si="112"/>
        <v>PO</v>
      </c>
      <c r="X501" t="s">
        <v>39</v>
      </c>
      <c r="Y501" t="s">
        <v>149</v>
      </c>
      <c r="AJ501">
        <f t="shared" si="113"/>
        <v>11</v>
      </c>
      <c r="AK501">
        <f t="shared" si="114"/>
        <v>11</v>
      </c>
      <c r="AL501">
        <f t="shared" si="115"/>
        <v>4</v>
      </c>
      <c r="AM501">
        <f t="shared" si="105"/>
        <v>4</v>
      </c>
      <c r="AN501">
        <f t="shared" si="116"/>
        <v>4</v>
      </c>
      <c r="AO501">
        <f t="shared" si="117"/>
        <v>4</v>
      </c>
      <c r="AP501">
        <f t="shared" si="118"/>
        <v>0</v>
      </c>
      <c r="AQ501">
        <f t="shared" si="106"/>
        <v>0</v>
      </c>
      <c r="AR501">
        <f t="shared" si="119"/>
        <v>0</v>
      </c>
    </row>
    <row r="502" spans="1:44" x14ac:dyDescent="0.25">
      <c r="A502" t="s">
        <v>550</v>
      </c>
      <c r="B502">
        <v>0</v>
      </c>
      <c r="C502" t="s">
        <v>5</v>
      </c>
      <c r="E502" t="s">
        <v>7</v>
      </c>
      <c r="F502" t="s">
        <v>2</v>
      </c>
      <c r="H502" t="s">
        <v>4</v>
      </c>
      <c r="I502" s="1">
        <v>0</v>
      </c>
      <c r="J502" s="1" t="s">
        <v>5</v>
      </c>
      <c r="K502" s="1"/>
      <c r="L502" s="1" t="s">
        <v>7</v>
      </c>
      <c r="M502" s="1" t="b">
        <v>0</v>
      </c>
      <c r="N502" s="1"/>
      <c r="O502">
        <v>0</v>
      </c>
      <c r="P502">
        <v>2</v>
      </c>
      <c r="Q502">
        <v>5</v>
      </c>
      <c r="R502" s="1">
        <f t="shared" si="107"/>
        <v>0</v>
      </c>
      <c r="S502" s="1">
        <f t="shared" si="108"/>
        <v>1</v>
      </c>
      <c r="T502" s="1">
        <f t="shared" si="109"/>
        <v>1</v>
      </c>
      <c r="U502" s="1">
        <f t="shared" si="110"/>
        <v>2</v>
      </c>
      <c r="V502" s="1">
        <f t="shared" si="111"/>
        <v>5</v>
      </c>
      <c r="W502" s="1" t="str">
        <f t="shared" si="112"/>
        <v>PO</v>
      </c>
      <c r="X502" t="s">
        <v>39</v>
      </c>
      <c r="Y502" t="s">
        <v>149</v>
      </c>
      <c r="AJ502">
        <f t="shared" si="113"/>
        <v>101</v>
      </c>
      <c r="AK502">
        <f t="shared" si="114"/>
        <v>101</v>
      </c>
      <c r="AL502">
        <f t="shared" si="115"/>
        <v>5</v>
      </c>
      <c r="AM502">
        <f t="shared" si="105"/>
        <v>5</v>
      </c>
      <c r="AN502">
        <f t="shared" si="116"/>
        <v>5</v>
      </c>
      <c r="AO502">
        <f t="shared" si="117"/>
        <v>5</v>
      </c>
      <c r="AP502">
        <f t="shared" si="118"/>
        <v>0</v>
      </c>
      <c r="AQ502">
        <f t="shared" si="106"/>
        <v>0</v>
      </c>
      <c r="AR502">
        <f t="shared" si="119"/>
        <v>0</v>
      </c>
    </row>
    <row r="503" spans="1:44" x14ac:dyDescent="0.25">
      <c r="A503" t="s">
        <v>551</v>
      </c>
      <c r="B503">
        <v>0</v>
      </c>
      <c r="D503" t="s">
        <v>6</v>
      </c>
      <c r="E503" t="s">
        <v>7</v>
      </c>
      <c r="G503" t="s">
        <v>3</v>
      </c>
      <c r="H503" t="s">
        <v>4</v>
      </c>
      <c r="I503" s="1">
        <v>0</v>
      </c>
      <c r="J503" s="1"/>
      <c r="K503" s="1" t="s">
        <v>6</v>
      </c>
      <c r="L503" s="1" t="s">
        <v>7</v>
      </c>
      <c r="M503" s="1" t="b">
        <v>0</v>
      </c>
      <c r="N503" s="1"/>
      <c r="O503">
        <v>0</v>
      </c>
      <c r="P503">
        <v>2</v>
      </c>
      <c r="Q503">
        <v>6</v>
      </c>
      <c r="R503" s="1">
        <f t="shared" si="107"/>
        <v>0</v>
      </c>
      <c r="S503" s="1">
        <f t="shared" si="108"/>
        <v>1</v>
      </c>
      <c r="T503" s="1">
        <f t="shared" si="109"/>
        <v>1</v>
      </c>
      <c r="U503" s="1">
        <f t="shared" si="110"/>
        <v>2</v>
      </c>
      <c r="V503" s="1">
        <f t="shared" si="111"/>
        <v>6</v>
      </c>
      <c r="W503" s="1" t="str">
        <f t="shared" si="112"/>
        <v>PO</v>
      </c>
      <c r="X503" t="s">
        <v>39</v>
      </c>
      <c r="Y503" t="s">
        <v>149</v>
      </c>
      <c r="AJ503">
        <f t="shared" si="113"/>
        <v>110</v>
      </c>
      <c r="AK503">
        <f t="shared" si="114"/>
        <v>110</v>
      </c>
      <c r="AL503">
        <f t="shared" si="115"/>
        <v>6</v>
      </c>
      <c r="AM503">
        <f t="shared" si="105"/>
        <v>6</v>
      </c>
      <c r="AN503">
        <f t="shared" si="116"/>
        <v>6</v>
      </c>
      <c r="AO503">
        <f t="shared" si="117"/>
        <v>6</v>
      </c>
      <c r="AP503">
        <f t="shared" si="118"/>
        <v>0</v>
      </c>
      <c r="AQ503">
        <f t="shared" si="106"/>
        <v>0</v>
      </c>
      <c r="AR503">
        <f t="shared" si="119"/>
        <v>0</v>
      </c>
    </row>
    <row r="504" spans="1:44" x14ac:dyDescent="0.25">
      <c r="A504" t="s">
        <v>552</v>
      </c>
      <c r="B504">
        <v>0</v>
      </c>
      <c r="C504" t="s">
        <v>5</v>
      </c>
      <c r="D504" t="s">
        <v>6</v>
      </c>
      <c r="E504" t="s">
        <v>7</v>
      </c>
      <c r="F504" t="s">
        <v>2</v>
      </c>
      <c r="G504" t="s">
        <v>3</v>
      </c>
      <c r="H504" t="s">
        <v>4</v>
      </c>
      <c r="I504" s="1">
        <v>0</v>
      </c>
      <c r="J504" s="1" t="s">
        <v>5</v>
      </c>
      <c r="K504" s="1" t="s">
        <v>6</v>
      </c>
      <c r="L504" s="1" t="s">
        <v>7</v>
      </c>
      <c r="M504" s="1" t="b">
        <v>0</v>
      </c>
      <c r="N504" s="1"/>
      <c r="O504">
        <v>0</v>
      </c>
      <c r="P504">
        <v>2</v>
      </c>
      <c r="Q504">
        <v>7</v>
      </c>
      <c r="R504" s="1">
        <f t="shared" si="107"/>
        <v>0</v>
      </c>
      <c r="S504" s="1">
        <f t="shared" si="108"/>
        <v>1</v>
      </c>
      <c r="T504" s="1">
        <f t="shared" si="109"/>
        <v>1</v>
      </c>
      <c r="U504" s="1">
        <f t="shared" si="110"/>
        <v>2</v>
      </c>
      <c r="V504" s="1">
        <f t="shared" si="111"/>
        <v>7</v>
      </c>
      <c r="W504" s="1" t="str">
        <f t="shared" si="112"/>
        <v>PO</v>
      </c>
      <c r="X504" t="s">
        <v>39</v>
      </c>
      <c r="Y504" t="s">
        <v>149</v>
      </c>
      <c r="AJ504">
        <f t="shared" si="113"/>
        <v>111</v>
      </c>
      <c r="AK504">
        <f t="shared" si="114"/>
        <v>111</v>
      </c>
      <c r="AL504">
        <f t="shared" si="115"/>
        <v>7</v>
      </c>
      <c r="AM504">
        <f t="shared" si="105"/>
        <v>7</v>
      </c>
      <c r="AN504">
        <f t="shared" si="116"/>
        <v>7</v>
      </c>
      <c r="AO504">
        <f t="shared" si="117"/>
        <v>7</v>
      </c>
      <c r="AP504">
        <f t="shared" si="118"/>
        <v>0</v>
      </c>
      <c r="AQ504">
        <f t="shared" si="106"/>
        <v>0</v>
      </c>
      <c r="AR504">
        <f t="shared" si="119"/>
        <v>0</v>
      </c>
    </row>
    <row r="505" spans="1:44" x14ac:dyDescent="0.25">
      <c r="A505" t="s">
        <v>553</v>
      </c>
      <c r="B505">
        <v>0</v>
      </c>
      <c r="I505" s="1">
        <v>0</v>
      </c>
      <c r="J505" s="1"/>
      <c r="K505" s="1"/>
      <c r="L505" s="1"/>
      <c r="M505" s="1" t="b">
        <v>0</v>
      </c>
      <c r="N505" s="1"/>
      <c r="O505">
        <v>0</v>
      </c>
      <c r="P505">
        <v>3</v>
      </c>
      <c r="Q505">
        <v>0</v>
      </c>
      <c r="R505" s="1">
        <f t="shared" si="107"/>
        <v>0</v>
      </c>
      <c r="S505" s="1">
        <f t="shared" si="108"/>
        <v>2</v>
      </c>
      <c r="T505" s="1">
        <f t="shared" si="109"/>
        <v>1</v>
      </c>
      <c r="U505" s="1">
        <f t="shared" si="110"/>
        <v>3</v>
      </c>
      <c r="V505" s="1">
        <f t="shared" si="111"/>
        <v>0</v>
      </c>
      <c r="W505" s="1" t="str">
        <f t="shared" si="112"/>
        <v>PO</v>
      </c>
      <c r="X505" t="s">
        <v>39</v>
      </c>
      <c r="Y505" t="s">
        <v>149</v>
      </c>
      <c r="AJ505">
        <f t="shared" si="113"/>
        <v>0</v>
      </c>
      <c r="AK505">
        <f t="shared" si="114"/>
        <v>0</v>
      </c>
      <c r="AL505">
        <f t="shared" si="115"/>
        <v>0</v>
      </c>
      <c r="AM505">
        <f t="shared" si="105"/>
        <v>0</v>
      </c>
      <c r="AN505">
        <f t="shared" si="116"/>
        <v>0</v>
      </c>
      <c r="AO505">
        <f t="shared" si="117"/>
        <v>0</v>
      </c>
      <c r="AP505">
        <f t="shared" si="118"/>
        <v>0</v>
      </c>
      <c r="AQ505">
        <f t="shared" si="106"/>
        <v>0</v>
      </c>
      <c r="AR505">
        <f t="shared" si="119"/>
        <v>0</v>
      </c>
    </row>
    <row r="506" spans="1:44" x14ac:dyDescent="0.25">
      <c r="A506" t="s">
        <v>554</v>
      </c>
      <c r="B506">
        <v>0</v>
      </c>
      <c r="I506" s="1">
        <v>0</v>
      </c>
      <c r="J506" s="1" t="s">
        <v>5</v>
      </c>
      <c r="K506" s="1"/>
      <c r="L506" s="1"/>
      <c r="M506" s="1" t="b">
        <v>0</v>
      </c>
      <c r="N506" s="1"/>
      <c r="O506">
        <v>0</v>
      </c>
      <c r="P506">
        <v>3</v>
      </c>
      <c r="Q506">
        <v>0</v>
      </c>
      <c r="R506" s="1">
        <f t="shared" si="107"/>
        <v>0</v>
      </c>
      <c r="S506" s="1">
        <f t="shared" si="108"/>
        <v>2</v>
      </c>
      <c r="T506" s="1">
        <f t="shared" si="109"/>
        <v>1</v>
      </c>
      <c r="U506" s="1">
        <f t="shared" si="110"/>
        <v>3</v>
      </c>
      <c r="V506" s="1">
        <f t="shared" si="111"/>
        <v>1</v>
      </c>
      <c r="W506" s="1" t="str">
        <f t="shared" si="112"/>
        <v>PO</v>
      </c>
      <c r="X506" t="s">
        <v>39</v>
      </c>
      <c r="Y506" t="s">
        <v>149</v>
      </c>
      <c r="AJ506">
        <f t="shared" si="113"/>
        <v>0</v>
      </c>
      <c r="AK506">
        <f t="shared" si="114"/>
        <v>0</v>
      </c>
      <c r="AL506">
        <f t="shared" si="115"/>
        <v>0</v>
      </c>
      <c r="AM506">
        <f t="shared" si="105"/>
        <v>0</v>
      </c>
      <c r="AN506">
        <f t="shared" si="116"/>
        <v>1</v>
      </c>
      <c r="AO506">
        <f t="shared" si="117"/>
        <v>0</v>
      </c>
      <c r="AP506">
        <f t="shared" si="118"/>
        <v>1</v>
      </c>
      <c r="AQ506">
        <f t="shared" si="106"/>
        <v>0</v>
      </c>
      <c r="AR506">
        <f t="shared" si="119"/>
        <v>1</v>
      </c>
    </row>
    <row r="507" spans="1:44" x14ac:dyDescent="0.25">
      <c r="A507" t="s">
        <v>555</v>
      </c>
      <c r="B507">
        <v>0</v>
      </c>
      <c r="I507" s="1">
        <v>0</v>
      </c>
      <c r="J507" s="1"/>
      <c r="K507" s="1" t="s">
        <v>6</v>
      </c>
      <c r="L507" s="1"/>
      <c r="M507" s="1" t="b">
        <v>0</v>
      </c>
      <c r="N507" s="1"/>
      <c r="O507">
        <v>0</v>
      </c>
      <c r="P507">
        <v>3</v>
      </c>
      <c r="Q507">
        <v>0</v>
      </c>
      <c r="R507" s="1">
        <f t="shared" si="107"/>
        <v>0</v>
      </c>
      <c r="S507" s="1">
        <f t="shared" si="108"/>
        <v>2</v>
      </c>
      <c r="T507" s="1">
        <f t="shared" si="109"/>
        <v>1</v>
      </c>
      <c r="U507" s="1">
        <f t="shared" si="110"/>
        <v>3</v>
      </c>
      <c r="V507" s="1">
        <f t="shared" si="111"/>
        <v>2</v>
      </c>
      <c r="W507" s="1" t="str">
        <f t="shared" si="112"/>
        <v>PO</v>
      </c>
      <c r="X507" t="s">
        <v>39</v>
      </c>
      <c r="Y507" t="s">
        <v>149</v>
      </c>
      <c r="AJ507">
        <f t="shared" si="113"/>
        <v>0</v>
      </c>
      <c r="AK507">
        <f t="shared" si="114"/>
        <v>0</v>
      </c>
      <c r="AL507">
        <f t="shared" si="115"/>
        <v>0</v>
      </c>
      <c r="AM507">
        <f t="shared" si="105"/>
        <v>0</v>
      </c>
      <c r="AN507">
        <f t="shared" si="116"/>
        <v>2</v>
      </c>
      <c r="AO507">
        <f t="shared" si="117"/>
        <v>0</v>
      </c>
      <c r="AP507">
        <f t="shared" si="118"/>
        <v>1</v>
      </c>
      <c r="AQ507">
        <f t="shared" si="106"/>
        <v>0</v>
      </c>
      <c r="AR507">
        <f t="shared" si="119"/>
        <v>1</v>
      </c>
    </row>
    <row r="508" spans="1:44" x14ac:dyDescent="0.25">
      <c r="A508" t="s">
        <v>556</v>
      </c>
      <c r="B508">
        <v>0</v>
      </c>
      <c r="I508" s="1">
        <v>0</v>
      </c>
      <c r="J508" s="1"/>
      <c r="K508" s="1"/>
      <c r="L508" s="1" t="s">
        <v>7</v>
      </c>
      <c r="M508" s="1" t="b">
        <v>0</v>
      </c>
      <c r="N508" s="1"/>
      <c r="O508">
        <v>0</v>
      </c>
      <c r="P508">
        <v>3</v>
      </c>
      <c r="Q508">
        <v>0</v>
      </c>
      <c r="R508" s="1">
        <f t="shared" si="107"/>
        <v>0</v>
      </c>
      <c r="S508" s="1">
        <f t="shared" si="108"/>
        <v>2</v>
      </c>
      <c r="T508" s="1">
        <f t="shared" si="109"/>
        <v>1</v>
      </c>
      <c r="U508" s="1">
        <f t="shared" si="110"/>
        <v>3</v>
      </c>
      <c r="V508" s="1">
        <f t="shared" si="111"/>
        <v>3</v>
      </c>
      <c r="W508" s="1" t="str">
        <f t="shared" si="112"/>
        <v>PO</v>
      </c>
      <c r="X508" t="s">
        <v>39</v>
      </c>
      <c r="Y508" t="s">
        <v>149</v>
      </c>
      <c r="AJ508">
        <f t="shared" si="113"/>
        <v>0</v>
      </c>
      <c r="AK508">
        <f t="shared" si="114"/>
        <v>0</v>
      </c>
      <c r="AL508">
        <f t="shared" si="115"/>
        <v>0</v>
      </c>
      <c r="AM508">
        <f t="shared" si="105"/>
        <v>0</v>
      </c>
      <c r="AN508">
        <f t="shared" si="116"/>
        <v>3</v>
      </c>
      <c r="AO508">
        <f t="shared" si="117"/>
        <v>0</v>
      </c>
      <c r="AP508">
        <f t="shared" si="118"/>
        <v>1</v>
      </c>
      <c r="AQ508">
        <f t="shared" si="106"/>
        <v>0</v>
      </c>
      <c r="AR508">
        <f t="shared" si="119"/>
        <v>1</v>
      </c>
    </row>
    <row r="509" spans="1:44" x14ac:dyDescent="0.25">
      <c r="A509" t="s">
        <v>557</v>
      </c>
      <c r="B509">
        <v>0</v>
      </c>
      <c r="I509" s="1">
        <v>0</v>
      </c>
      <c r="J509" s="1" t="s">
        <v>5</v>
      </c>
      <c r="K509" s="1" t="s">
        <v>6</v>
      </c>
      <c r="L509" s="1"/>
      <c r="M509" s="1" t="b">
        <v>0</v>
      </c>
      <c r="N509" s="1"/>
      <c r="O509">
        <v>0</v>
      </c>
      <c r="P509">
        <v>3</v>
      </c>
      <c r="Q509">
        <v>0</v>
      </c>
      <c r="R509" s="1">
        <f t="shared" si="107"/>
        <v>0</v>
      </c>
      <c r="S509" s="1">
        <f t="shared" si="108"/>
        <v>2</v>
      </c>
      <c r="T509" s="1">
        <f t="shared" si="109"/>
        <v>1</v>
      </c>
      <c r="U509" s="1">
        <f t="shared" si="110"/>
        <v>3</v>
      </c>
      <c r="V509" s="1">
        <f t="shared" si="111"/>
        <v>4</v>
      </c>
      <c r="W509" s="1" t="str">
        <f t="shared" si="112"/>
        <v>PO</v>
      </c>
      <c r="X509" t="s">
        <v>39</v>
      </c>
      <c r="Y509" t="s">
        <v>149</v>
      </c>
      <c r="AJ509">
        <f t="shared" si="113"/>
        <v>0</v>
      </c>
      <c r="AK509">
        <f t="shared" si="114"/>
        <v>0</v>
      </c>
      <c r="AL509">
        <f t="shared" si="115"/>
        <v>0</v>
      </c>
      <c r="AM509">
        <f t="shared" si="105"/>
        <v>0</v>
      </c>
      <c r="AN509">
        <f t="shared" si="116"/>
        <v>4</v>
      </c>
      <c r="AO509">
        <f t="shared" si="117"/>
        <v>0</v>
      </c>
      <c r="AP509">
        <f t="shared" si="118"/>
        <v>1</v>
      </c>
      <c r="AQ509">
        <f t="shared" si="106"/>
        <v>0</v>
      </c>
      <c r="AR509">
        <f t="shared" si="119"/>
        <v>1</v>
      </c>
    </row>
    <row r="510" spans="1:44" x14ac:dyDescent="0.25">
      <c r="A510" t="s">
        <v>558</v>
      </c>
      <c r="B510">
        <v>0</v>
      </c>
      <c r="I510" s="1">
        <v>0</v>
      </c>
      <c r="J510" s="1" t="s">
        <v>5</v>
      </c>
      <c r="K510" s="1"/>
      <c r="L510" s="1" t="s">
        <v>7</v>
      </c>
      <c r="M510" s="1" t="b">
        <v>0</v>
      </c>
      <c r="N510" s="1"/>
      <c r="O510">
        <v>0</v>
      </c>
      <c r="P510">
        <v>3</v>
      </c>
      <c r="Q510">
        <v>0</v>
      </c>
      <c r="R510" s="1">
        <f t="shared" si="107"/>
        <v>0</v>
      </c>
      <c r="S510" s="1">
        <f t="shared" si="108"/>
        <v>2</v>
      </c>
      <c r="T510" s="1">
        <f t="shared" si="109"/>
        <v>1</v>
      </c>
      <c r="U510" s="1">
        <f t="shared" si="110"/>
        <v>3</v>
      </c>
      <c r="V510" s="1">
        <f t="shared" si="111"/>
        <v>5</v>
      </c>
      <c r="W510" s="1" t="str">
        <f t="shared" si="112"/>
        <v>PO</v>
      </c>
      <c r="X510" t="s">
        <v>39</v>
      </c>
      <c r="Y510" t="s">
        <v>149</v>
      </c>
      <c r="AJ510">
        <f t="shared" si="113"/>
        <v>0</v>
      </c>
      <c r="AK510">
        <f t="shared" si="114"/>
        <v>0</v>
      </c>
      <c r="AL510">
        <f t="shared" si="115"/>
        <v>0</v>
      </c>
      <c r="AM510">
        <f t="shared" si="105"/>
        <v>0</v>
      </c>
      <c r="AN510">
        <f t="shared" si="116"/>
        <v>5</v>
      </c>
      <c r="AO510">
        <f t="shared" si="117"/>
        <v>0</v>
      </c>
      <c r="AP510">
        <f t="shared" si="118"/>
        <v>1</v>
      </c>
      <c r="AQ510">
        <f t="shared" si="106"/>
        <v>0</v>
      </c>
      <c r="AR510">
        <f t="shared" si="119"/>
        <v>1</v>
      </c>
    </row>
    <row r="511" spans="1:44" x14ac:dyDescent="0.25">
      <c r="A511" t="s">
        <v>559</v>
      </c>
      <c r="B511">
        <v>0</v>
      </c>
      <c r="I511" s="1">
        <v>0</v>
      </c>
      <c r="J511" s="1"/>
      <c r="K511" s="1" t="s">
        <v>6</v>
      </c>
      <c r="L511" s="1" t="s">
        <v>7</v>
      </c>
      <c r="M511" s="1" t="b">
        <v>0</v>
      </c>
      <c r="N511" s="1"/>
      <c r="O511">
        <v>0</v>
      </c>
      <c r="P511">
        <v>3</v>
      </c>
      <c r="Q511">
        <v>0</v>
      </c>
      <c r="R511" s="1">
        <f t="shared" si="107"/>
        <v>0</v>
      </c>
      <c r="S511" s="1">
        <f t="shared" si="108"/>
        <v>2</v>
      </c>
      <c r="T511" s="1">
        <f t="shared" si="109"/>
        <v>1</v>
      </c>
      <c r="U511" s="1">
        <f t="shared" si="110"/>
        <v>3</v>
      </c>
      <c r="V511" s="1">
        <f t="shared" si="111"/>
        <v>6</v>
      </c>
      <c r="W511" s="1" t="str">
        <f t="shared" si="112"/>
        <v>PO</v>
      </c>
      <c r="X511" t="s">
        <v>39</v>
      </c>
      <c r="Y511" t="s">
        <v>149</v>
      </c>
      <c r="AJ511">
        <f t="shared" si="113"/>
        <v>0</v>
      </c>
      <c r="AK511">
        <f t="shared" si="114"/>
        <v>0</v>
      </c>
      <c r="AL511">
        <f t="shared" si="115"/>
        <v>0</v>
      </c>
      <c r="AM511">
        <f t="shared" si="105"/>
        <v>0</v>
      </c>
      <c r="AN511">
        <f t="shared" si="116"/>
        <v>6</v>
      </c>
      <c r="AO511">
        <f t="shared" si="117"/>
        <v>0</v>
      </c>
      <c r="AP511">
        <f t="shared" si="118"/>
        <v>1</v>
      </c>
      <c r="AQ511">
        <f t="shared" si="106"/>
        <v>0</v>
      </c>
      <c r="AR511">
        <f t="shared" si="119"/>
        <v>1</v>
      </c>
    </row>
    <row r="512" spans="1:44" x14ac:dyDescent="0.25">
      <c r="A512" t="s">
        <v>560</v>
      </c>
      <c r="B512">
        <v>0</v>
      </c>
      <c r="I512" s="1">
        <v>0</v>
      </c>
      <c r="J512" s="1" t="s">
        <v>5</v>
      </c>
      <c r="K512" s="1" t="s">
        <v>6</v>
      </c>
      <c r="L512" s="1" t="s">
        <v>7</v>
      </c>
      <c r="M512" s="1" t="b">
        <v>0</v>
      </c>
      <c r="N512" s="1"/>
      <c r="O512">
        <v>0</v>
      </c>
      <c r="P512">
        <v>3</v>
      </c>
      <c r="Q512">
        <v>0</v>
      </c>
      <c r="R512" s="1">
        <f t="shared" si="107"/>
        <v>0</v>
      </c>
      <c r="S512" s="1">
        <f t="shared" si="108"/>
        <v>2</v>
      </c>
      <c r="T512" s="1">
        <f t="shared" si="109"/>
        <v>1</v>
      </c>
      <c r="U512" s="1">
        <f t="shared" si="110"/>
        <v>3</v>
      </c>
      <c r="V512" s="1">
        <f t="shared" si="111"/>
        <v>7</v>
      </c>
      <c r="W512" s="1" t="str">
        <f t="shared" si="112"/>
        <v>PO</v>
      </c>
      <c r="X512" t="s">
        <v>39</v>
      </c>
      <c r="Y512" t="s">
        <v>149</v>
      </c>
      <c r="AJ512">
        <f t="shared" si="113"/>
        <v>0</v>
      </c>
      <c r="AK512">
        <f t="shared" si="114"/>
        <v>0</v>
      </c>
      <c r="AL512">
        <f t="shared" si="115"/>
        <v>0</v>
      </c>
      <c r="AM512">
        <f t="shared" si="105"/>
        <v>0</v>
      </c>
      <c r="AN512">
        <f t="shared" si="116"/>
        <v>7</v>
      </c>
      <c r="AO512">
        <f t="shared" si="117"/>
        <v>0</v>
      </c>
      <c r="AP512">
        <f t="shared" si="118"/>
        <v>1</v>
      </c>
      <c r="AQ512">
        <f t="shared" si="106"/>
        <v>0</v>
      </c>
      <c r="AR512">
        <f t="shared" si="119"/>
        <v>1</v>
      </c>
    </row>
    <row r="513" spans="1:44" x14ac:dyDescent="0.25">
      <c r="A513" t="s">
        <v>561</v>
      </c>
      <c r="B513">
        <v>0</v>
      </c>
      <c r="C513" t="s">
        <v>6</v>
      </c>
      <c r="G513" t="s">
        <v>2</v>
      </c>
      <c r="I513" s="1">
        <v>0</v>
      </c>
      <c r="J513" s="1" t="s">
        <v>6</v>
      </c>
      <c r="K513" s="1"/>
      <c r="L513" s="1"/>
      <c r="M513" s="1" t="b">
        <v>1</v>
      </c>
      <c r="N513" s="1"/>
      <c r="O513">
        <v>0</v>
      </c>
      <c r="P513">
        <v>1</v>
      </c>
      <c r="Q513">
        <v>2</v>
      </c>
      <c r="R513" s="1">
        <f t="shared" si="107"/>
        <v>0</v>
      </c>
      <c r="S513" s="1">
        <f t="shared" si="108"/>
        <v>0</v>
      </c>
      <c r="T513" s="1">
        <f t="shared" si="109"/>
        <v>1</v>
      </c>
      <c r="U513" s="1">
        <f t="shared" si="110"/>
        <v>1</v>
      </c>
      <c r="V513" s="1">
        <f t="shared" si="111"/>
        <v>1</v>
      </c>
      <c r="W513" s="1" t="str">
        <f t="shared" si="112"/>
        <v>SacF</v>
      </c>
      <c r="X513" t="s">
        <v>149</v>
      </c>
      <c r="Y513" t="s">
        <v>149</v>
      </c>
      <c r="AB513">
        <v>2</v>
      </c>
      <c r="AI513">
        <v>2</v>
      </c>
      <c r="AJ513">
        <f t="shared" si="113"/>
        <v>1</v>
      </c>
      <c r="AK513">
        <f t="shared" si="114"/>
        <v>10</v>
      </c>
      <c r="AL513">
        <f t="shared" si="115"/>
        <v>1</v>
      </c>
      <c r="AM513">
        <f t="shared" si="105"/>
        <v>2</v>
      </c>
      <c r="AN513">
        <f t="shared" si="116"/>
        <v>1</v>
      </c>
      <c r="AO513">
        <f t="shared" si="117"/>
        <v>2</v>
      </c>
      <c r="AP513">
        <f t="shared" si="118"/>
        <v>0</v>
      </c>
      <c r="AQ513">
        <f t="shared" si="106"/>
        <v>0</v>
      </c>
      <c r="AR513">
        <f t="shared" si="119"/>
        <v>0</v>
      </c>
    </row>
    <row r="514" spans="1:44" x14ac:dyDescent="0.25">
      <c r="A514" t="s">
        <v>562</v>
      </c>
      <c r="B514">
        <v>0</v>
      </c>
      <c r="D514" t="s">
        <v>7</v>
      </c>
      <c r="H514" t="s">
        <v>3</v>
      </c>
      <c r="I514" s="1">
        <v>0</v>
      </c>
      <c r="J514" s="1"/>
      <c r="K514" s="1" t="s">
        <v>7</v>
      </c>
      <c r="L514" s="1"/>
      <c r="M514" s="1" t="b">
        <v>1</v>
      </c>
      <c r="N514" s="1"/>
      <c r="O514">
        <v>0</v>
      </c>
      <c r="P514">
        <v>1</v>
      </c>
      <c r="Q514">
        <v>3</v>
      </c>
      <c r="R514" s="1">
        <f t="shared" si="107"/>
        <v>0</v>
      </c>
      <c r="S514" s="1">
        <f t="shared" si="108"/>
        <v>0</v>
      </c>
      <c r="T514" s="1">
        <f t="shared" si="109"/>
        <v>1</v>
      </c>
      <c r="U514" s="1">
        <f t="shared" si="110"/>
        <v>1</v>
      </c>
      <c r="V514" s="1">
        <f t="shared" si="111"/>
        <v>2</v>
      </c>
      <c r="W514" s="1" t="str">
        <f t="shared" si="112"/>
        <v>SacF</v>
      </c>
      <c r="X514" t="s">
        <v>149</v>
      </c>
      <c r="Y514" t="s">
        <v>149</v>
      </c>
      <c r="Z514" t="s">
        <v>337</v>
      </c>
      <c r="AA514" t="s">
        <v>338</v>
      </c>
      <c r="AB514">
        <v>3</v>
      </c>
      <c r="AI514">
        <v>3</v>
      </c>
      <c r="AJ514">
        <f t="shared" si="113"/>
        <v>10</v>
      </c>
      <c r="AK514">
        <f t="shared" si="114"/>
        <v>100</v>
      </c>
      <c r="AL514">
        <f t="shared" si="115"/>
        <v>2</v>
      </c>
      <c r="AM514">
        <f t="shared" si="105"/>
        <v>3</v>
      </c>
      <c r="AN514">
        <f t="shared" si="116"/>
        <v>2</v>
      </c>
      <c r="AO514">
        <f t="shared" si="117"/>
        <v>3</v>
      </c>
      <c r="AP514">
        <f t="shared" si="118"/>
        <v>0</v>
      </c>
      <c r="AQ514">
        <f t="shared" si="106"/>
        <v>0</v>
      </c>
      <c r="AR514">
        <f t="shared" si="119"/>
        <v>0</v>
      </c>
    </row>
    <row r="515" spans="1:44" x14ac:dyDescent="0.25">
      <c r="A515" t="s">
        <v>563</v>
      </c>
      <c r="B515">
        <v>0</v>
      </c>
      <c r="E515" t="s">
        <v>43</v>
      </c>
      <c r="I515" s="1">
        <v>0</v>
      </c>
      <c r="J515" s="1"/>
      <c r="K515" s="1"/>
      <c r="L515" s="1" t="s">
        <v>43</v>
      </c>
      <c r="M515" s="1" t="b">
        <v>1</v>
      </c>
      <c r="N515" s="1"/>
      <c r="O515">
        <v>1</v>
      </c>
      <c r="P515">
        <v>1</v>
      </c>
      <c r="Q515">
        <v>0</v>
      </c>
      <c r="R515" s="1">
        <f t="shared" si="107"/>
        <v>1</v>
      </c>
      <c r="S515" s="1">
        <f t="shared" si="108"/>
        <v>0</v>
      </c>
      <c r="T515" s="1">
        <f t="shared" si="109"/>
        <v>1</v>
      </c>
      <c r="U515" s="1">
        <f t="shared" si="110"/>
        <v>1</v>
      </c>
      <c r="V515" s="1">
        <f t="shared" si="111"/>
        <v>3</v>
      </c>
      <c r="W515" s="1" t="str">
        <f t="shared" si="112"/>
        <v>SacF</v>
      </c>
      <c r="X515" t="s">
        <v>149</v>
      </c>
      <c r="Y515" t="s">
        <v>149</v>
      </c>
      <c r="AB515">
        <v>4</v>
      </c>
      <c r="AI515">
        <v>4</v>
      </c>
      <c r="AJ515">
        <f t="shared" si="113"/>
        <v>100</v>
      </c>
      <c r="AK515">
        <f t="shared" si="114"/>
        <v>0</v>
      </c>
      <c r="AL515">
        <f t="shared" si="115"/>
        <v>3</v>
      </c>
      <c r="AM515">
        <f t="shared" ref="AM515:AM578" si="120">INDEX($AU$3:$AU$10,MATCH(AK515,$AT$3:$AT$10,0))</f>
        <v>0</v>
      </c>
      <c r="AN515">
        <f t="shared" si="116"/>
        <v>3</v>
      </c>
      <c r="AO515">
        <f t="shared" si="117"/>
        <v>0</v>
      </c>
      <c r="AP515">
        <f t="shared" si="118"/>
        <v>0</v>
      </c>
      <c r="AQ515">
        <f t="shared" ref="AQ515:AQ578" si="121">N(AM515&lt;&gt;AO515)</f>
        <v>0</v>
      </c>
      <c r="AR515">
        <f t="shared" si="119"/>
        <v>0</v>
      </c>
    </row>
    <row r="516" spans="1:44" x14ac:dyDescent="0.25">
      <c r="A516" t="s">
        <v>564</v>
      </c>
      <c r="B516">
        <v>0</v>
      </c>
      <c r="C516" t="s">
        <v>5</v>
      </c>
      <c r="D516" t="s">
        <v>7</v>
      </c>
      <c r="F516" t="s">
        <v>2</v>
      </c>
      <c r="H516" t="s">
        <v>3</v>
      </c>
      <c r="I516" s="1">
        <v>0</v>
      </c>
      <c r="J516" s="1" t="s">
        <v>5</v>
      </c>
      <c r="K516" s="1" t="s">
        <v>7</v>
      </c>
      <c r="L516" s="1"/>
      <c r="M516" s="1" t="b">
        <v>1</v>
      </c>
      <c r="N516" s="1"/>
      <c r="O516">
        <v>0</v>
      </c>
      <c r="P516">
        <v>1</v>
      </c>
      <c r="Q516">
        <v>5</v>
      </c>
      <c r="R516" s="1">
        <f t="shared" ref="R516:R579" si="122">COUNTIF(B516:E516,"b4")</f>
        <v>0</v>
      </c>
      <c r="S516" s="1">
        <f t="shared" ref="S516:S579" si="123">VALUE(LEFT(A516,1))</f>
        <v>0</v>
      </c>
      <c r="T516" s="1">
        <f t="shared" ref="T516:T579" si="124">COUNTIF(B516:E516,0)</f>
        <v>1</v>
      </c>
      <c r="U516" s="1">
        <f t="shared" ref="U516:U579" si="125">S516+T516</f>
        <v>1</v>
      </c>
      <c r="V516" s="1">
        <f t="shared" ref="V516:V579" si="126">VALUE(_xlfn.TEXTBEFORE(_xlfn.TEXTAFTER(A516,"_"),"_"))</f>
        <v>4</v>
      </c>
      <c r="W516" s="1" t="str">
        <f t="shared" ref="W516:W579" si="127">_xlfn.TEXTAFTER(A516,"_",-1)</f>
        <v>SacF</v>
      </c>
      <c r="X516" t="s">
        <v>149</v>
      </c>
      <c r="Y516" t="s">
        <v>149</v>
      </c>
      <c r="Z516" t="s">
        <v>337</v>
      </c>
      <c r="AA516" t="s">
        <v>338</v>
      </c>
      <c r="AB516">
        <v>3</v>
      </c>
      <c r="AI516">
        <v>3</v>
      </c>
      <c r="AJ516">
        <f t="shared" ref="AJ516:AJ579" si="128">VALUE(IF(E516&lt;&gt;"","1","0")&amp;IF(D516&lt;&gt;"","1","0")&amp;IF(C516&lt;&gt;"","1","0"))</f>
        <v>11</v>
      </c>
      <c r="AK516">
        <f t="shared" ref="AK516:AK579" si="129">VALUE(IF(H516&lt;&gt;"","1","0")&amp;IF(G516&lt;&gt;"","1","0")&amp;IF(F516&lt;&gt;"","1","0"))</f>
        <v>101</v>
      </c>
      <c r="AL516">
        <f t="shared" ref="AL516:AL579" si="130">INDEX($AU$3:$AU$10,MATCH(AJ516,$AT$3:$AT$10,0))</f>
        <v>4</v>
      </c>
      <c r="AM516">
        <f t="shared" si="120"/>
        <v>5</v>
      </c>
      <c r="AN516">
        <f t="shared" ref="AN516:AN579" si="131">VALUE(_xlfn.TEXTBEFORE(_xlfn.TEXTAFTER(A516,"_"),"_"))</f>
        <v>4</v>
      </c>
      <c r="AO516">
        <f t="shared" ref="AO516:AO579" si="132">Q516</f>
        <v>5</v>
      </c>
      <c r="AP516">
        <f t="shared" ref="AP516:AP579" si="133">N(AL516&lt;&gt;AN516)</f>
        <v>0</v>
      </c>
      <c r="AQ516">
        <f t="shared" si="121"/>
        <v>0</v>
      </c>
      <c r="AR516">
        <f t="shared" ref="AR516:AR579" si="134">N(OR(AP516,AQ516))</f>
        <v>0</v>
      </c>
    </row>
    <row r="517" spans="1:44" x14ac:dyDescent="0.25">
      <c r="A517" t="s">
        <v>565</v>
      </c>
      <c r="B517">
        <v>0</v>
      </c>
      <c r="C517" t="s">
        <v>5</v>
      </c>
      <c r="E517" t="s">
        <v>43</v>
      </c>
      <c r="F517" t="s">
        <v>2</v>
      </c>
      <c r="I517" s="1">
        <v>0</v>
      </c>
      <c r="J517" s="1" t="s">
        <v>5</v>
      </c>
      <c r="K517" s="1"/>
      <c r="L517" s="1" t="s">
        <v>43</v>
      </c>
      <c r="M517" s="1" t="b">
        <v>1</v>
      </c>
      <c r="N517" s="1"/>
      <c r="O517">
        <v>1</v>
      </c>
      <c r="P517">
        <v>1</v>
      </c>
      <c r="Q517">
        <v>1</v>
      </c>
      <c r="R517" s="1">
        <f t="shared" si="122"/>
        <v>1</v>
      </c>
      <c r="S517" s="1">
        <f t="shared" si="123"/>
        <v>0</v>
      </c>
      <c r="T517" s="1">
        <f t="shared" si="124"/>
        <v>1</v>
      </c>
      <c r="U517" s="1">
        <f t="shared" si="125"/>
        <v>1</v>
      </c>
      <c r="V517" s="1">
        <f t="shared" si="126"/>
        <v>5</v>
      </c>
      <c r="W517" s="1" t="str">
        <f t="shared" si="127"/>
        <v>SacF</v>
      </c>
      <c r="X517" t="s">
        <v>149</v>
      </c>
      <c r="Y517" t="s">
        <v>149</v>
      </c>
      <c r="AB517">
        <v>4</v>
      </c>
      <c r="AI517">
        <v>4</v>
      </c>
      <c r="AJ517">
        <f t="shared" si="128"/>
        <v>101</v>
      </c>
      <c r="AK517">
        <f t="shared" si="129"/>
        <v>1</v>
      </c>
      <c r="AL517">
        <f t="shared" si="130"/>
        <v>5</v>
      </c>
      <c r="AM517">
        <f t="shared" si="120"/>
        <v>1</v>
      </c>
      <c r="AN517">
        <f t="shared" si="131"/>
        <v>5</v>
      </c>
      <c r="AO517">
        <f t="shared" si="132"/>
        <v>1</v>
      </c>
      <c r="AP517">
        <f t="shared" si="133"/>
        <v>0</v>
      </c>
      <c r="AQ517">
        <f t="shared" si="121"/>
        <v>0</v>
      </c>
      <c r="AR517">
        <f t="shared" si="134"/>
        <v>0</v>
      </c>
    </row>
    <row r="518" spans="1:44" x14ac:dyDescent="0.25">
      <c r="A518" t="s">
        <v>566</v>
      </c>
      <c r="B518">
        <v>0</v>
      </c>
      <c r="D518" t="s">
        <v>6</v>
      </c>
      <c r="E518" t="s">
        <v>43</v>
      </c>
      <c r="G518" t="s">
        <v>3</v>
      </c>
      <c r="I518" s="1">
        <v>0</v>
      </c>
      <c r="J518" s="1"/>
      <c r="K518" s="1" t="s">
        <v>6</v>
      </c>
      <c r="L518" s="1" t="s">
        <v>43</v>
      </c>
      <c r="M518" s="1" t="b">
        <v>1</v>
      </c>
      <c r="N518" s="1"/>
      <c r="O518">
        <v>1</v>
      </c>
      <c r="P518">
        <v>1</v>
      </c>
      <c r="Q518">
        <v>2</v>
      </c>
      <c r="R518" s="1">
        <f t="shared" si="122"/>
        <v>1</v>
      </c>
      <c r="S518" s="1">
        <f t="shared" si="123"/>
        <v>0</v>
      </c>
      <c r="T518" s="1">
        <f t="shared" si="124"/>
        <v>1</v>
      </c>
      <c r="U518" s="1">
        <f t="shared" si="125"/>
        <v>1</v>
      </c>
      <c r="V518" s="1">
        <f t="shared" si="126"/>
        <v>6</v>
      </c>
      <c r="W518" s="1" t="str">
        <f t="shared" si="127"/>
        <v>SacF</v>
      </c>
      <c r="X518" t="s">
        <v>149</v>
      </c>
      <c r="Y518" t="s">
        <v>149</v>
      </c>
      <c r="AB518">
        <v>4</v>
      </c>
      <c r="AI518">
        <v>4</v>
      </c>
      <c r="AJ518">
        <f t="shared" si="128"/>
        <v>110</v>
      </c>
      <c r="AK518">
        <f t="shared" si="129"/>
        <v>10</v>
      </c>
      <c r="AL518">
        <f t="shared" si="130"/>
        <v>6</v>
      </c>
      <c r="AM518">
        <f t="shared" si="120"/>
        <v>2</v>
      </c>
      <c r="AN518">
        <f t="shared" si="131"/>
        <v>6</v>
      </c>
      <c r="AO518">
        <f t="shared" si="132"/>
        <v>2</v>
      </c>
      <c r="AP518">
        <f t="shared" si="133"/>
        <v>0</v>
      </c>
      <c r="AQ518">
        <f t="shared" si="121"/>
        <v>0</v>
      </c>
      <c r="AR518">
        <f t="shared" si="134"/>
        <v>0</v>
      </c>
    </row>
    <row r="519" spans="1:44" x14ac:dyDescent="0.25">
      <c r="A519" t="s">
        <v>567</v>
      </c>
      <c r="B519">
        <v>0</v>
      </c>
      <c r="C519" t="s">
        <v>5</v>
      </c>
      <c r="D519" t="s">
        <v>6</v>
      </c>
      <c r="E519" t="s">
        <v>43</v>
      </c>
      <c r="F519" t="s">
        <v>2</v>
      </c>
      <c r="G519" t="s">
        <v>3</v>
      </c>
      <c r="I519" s="1">
        <v>0</v>
      </c>
      <c r="J519" s="1" t="s">
        <v>5</v>
      </c>
      <c r="K519" s="1" t="s">
        <v>6</v>
      </c>
      <c r="L519" s="1" t="s">
        <v>43</v>
      </c>
      <c r="M519" s="1" t="b">
        <v>1</v>
      </c>
      <c r="N519" s="1"/>
      <c r="O519">
        <v>1</v>
      </c>
      <c r="P519">
        <v>1</v>
      </c>
      <c r="Q519">
        <v>4</v>
      </c>
      <c r="R519" s="1">
        <f t="shared" si="122"/>
        <v>1</v>
      </c>
      <c r="S519" s="1">
        <f t="shared" si="123"/>
        <v>0</v>
      </c>
      <c r="T519" s="1">
        <f t="shared" si="124"/>
        <v>1</v>
      </c>
      <c r="U519" s="1">
        <f t="shared" si="125"/>
        <v>1</v>
      </c>
      <c r="V519" s="1">
        <f t="shared" si="126"/>
        <v>7</v>
      </c>
      <c r="W519" s="1" t="str">
        <f t="shared" si="127"/>
        <v>SacF</v>
      </c>
      <c r="X519" t="s">
        <v>149</v>
      </c>
      <c r="Y519" t="s">
        <v>149</v>
      </c>
      <c r="AB519">
        <v>4</v>
      </c>
      <c r="AI519">
        <v>4</v>
      </c>
      <c r="AJ519">
        <f t="shared" si="128"/>
        <v>111</v>
      </c>
      <c r="AK519">
        <f t="shared" si="129"/>
        <v>11</v>
      </c>
      <c r="AL519">
        <f t="shared" si="130"/>
        <v>7</v>
      </c>
      <c r="AM519">
        <f t="shared" si="120"/>
        <v>4</v>
      </c>
      <c r="AN519">
        <f t="shared" si="131"/>
        <v>7</v>
      </c>
      <c r="AO519">
        <f t="shared" si="132"/>
        <v>4</v>
      </c>
      <c r="AP519">
        <f t="shared" si="133"/>
        <v>0</v>
      </c>
      <c r="AQ519">
        <f t="shared" si="121"/>
        <v>0</v>
      </c>
      <c r="AR519">
        <f t="shared" si="134"/>
        <v>0</v>
      </c>
    </row>
    <row r="520" spans="1:44" x14ac:dyDescent="0.25">
      <c r="A520" t="s">
        <v>568</v>
      </c>
      <c r="B520">
        <v>0</v>
      </c>
      <c r="C520" t="s">
        <v>6</v>
      </c>
      <c r="G520" t="s">
        <v>2</v>
      </c>
      <c r="I520" s="1">
        <v>0</v>
      </c>
      <c r="J520" s="1" t="s">
        <v>6</v>
      </c>
      <c r="K520" s="1"/>
      <c r="L520" s="1"/>
      <c r="M520" s="1" t="b">
        <v>1</v>
      </c>
      <c r="N520" s="1"/>
      <c r="O520">
        <v>0</v>
      </c>
      <c r="P520">
        <v>2</v>
      </c>
      <c r="Q520">
        <v>2</v>
      </c>
      <c r="R520" s="1">
        <f t="shared" si="122"/>
        <v>0</v>
      </c>
      <c r="S520" s="1">
        <f t="shared" si="123"/>
        <v>1</v>
      </c>
      <c r="T520" s="1">
        <f t="shared" si="124"/>
        <v>1</v>
      </c>
      <c r="U520" s="1">
        <f t="shared" si="125"/>
        <v>2</v>
      </c>
      <c r="V520" s="1">
        <f t="shared" si="126"/>
        <v>1</v>
      </c>
      <c r="W520" s="1" t="str">
        <f t="shared" si="127"/>
        <v>SacF</v>
      </c>
      <c r="X520" t="s">
        <v>149</v>
      </c>
      <c r="Y520" t="s">
        <v>149</v>
      </c>
      <c r="AB520">
        <v>2</v>
      </c>
      <c r="AI520">
        <v>2</v>
      </c>
      <c r="AJ520">
        <f t="shared" si="128"/>
        <v>1</v>
      </c>
      <c r="AK520">
        <f t="shared" si="129"/>
        <v>10</v>
      </c>
      <c r="AL520">
        <f t="shared" si="130"/>
        <v>1</v>
      </c>
      <c r="AM520">
        <f t="shared" si="120"/>
        <v>2</v>
      </c>
      <c r="AN520">
        <f t="shared" si="131"/>
        <v>1</v>
      </c>
      <c r="AO520">
        <f t="shared" si="132"/>
        <v>2</v>
      </c>
      <c r="AP520">
        <f t="shared" si="133"/>
        <v>0</v>
      </c>
      <c r="AQ520">
        <f t="shared" si="121"/>
        <v>0</v>
      </c>
      <c r="AR520">
        <f t="shared" si="134"/>
        <v>0</v>
      </c>
    </row>
    <row r="521" spans="1:44" x14ac:dyDescent="0.25">
      <c r="A521" t="s">
        <v>569</v>
      </c>
      <c r="B521">
        <v>0</v>
      </c>
      <c r="D521" t="s">
        <v>7</v>
      </c>
      <c r="H521" t="s">
        <v>3</v>
      </c>
      <c r="I521" s="1">
        <v>0</v>
      </c>
      <c r="J521" s="1"/>
      <c r="K521" s="1" t="s">
        <v>7</v>
      </c>
      <c r="L521" s="1"/>
      <c r="M521" s="1" t="b">
        <v>1</v>
      </c>
      <c r="N521" s="1"/>
      <c r="O521">
        <v>0</v>
      </c>
      <c r="P521">
        <v>2</v>
      </c>
      <c r="Q521">
        <v>3</v>
      </c>
      <c r="R521" s="1">
        <f t="shared" si="122"/>
        <v>0</v>
      </c>
      <c r="S521" s="1">
        <f t="shared" si="123"/>
        <v>1</v>
      </c>
      <c r="T521" s="1">
        <f t="shared" si="124"/>
        <v>1</v>
      </c>
      <c r="U521" s="1">
        <f t="shared" si="125"/>
        <v>2</v>
      </c>
      <c r="V521" s="1">
        <f t="shared" si="126"/>
        <v>2</v>
      </c>
      <c r="W521" s="1" t="str">
        <f t="shared" si="127"/>
        <v>SacF</v>
      </c>
      <c r="X521" t="s">
        <v>149</v>
      </c>
      <c r="Y521" t="s">
        <v>149</v>
      </c>
      <c r="Z521" t="s">
        <v>337</v>
      </c>
      <c r="AA521" t="s">
        <v>338</v>
      </c>
      <c r="AB521">
        <v>3</v>
      </c>
      <c r="AI521">
        <v>3</v>
      </c>
      <c r="AJ521">
        <f t="shared" si="128"/>
        <v>10</v>
      </c>
      <c r="AK521">
        <f t="shared" si="129"/>
        <v>100</v>
      </c>
      <c r="AL521">
        <f t="shared" si="130"/>
        <v>2</v>
      </c>
      <c r="AM521">
        <f t="shared" si="120"/>
        <v>3</v>
      </c>
      <c r="AN521">
        <f t="shared" si="131"/>
        <v>2</v>
      </c>
      <c r="AO521">
        <f t="shared" si="132"/>
        <v>3</v>
      </c>
      <c r="AP521">
        <f t="shared" si="133"/>
        <v>0</v>
      </c>
      <c r="AQ521">
        <f t="shared" si="121"/>
        <v>0</v>
      </c>
      <c r="AR521">
        <f t="shared" si="134"/>
        <v>0</v>
      </c>
    </row>
    <row r="522" spans="1:44" x14ac:dyDescent="0.25">
      <c r="A522" t="s">
        <v>570</v>
      </c>
      <c r="B522">
        <v>0</v>
      </c>
      <c r="E522" t="s">
        <v>43</v>
      </c>
      <c r="I522" s="1">
        <v>0</v>
      </c>
      <c r="J522" s="1"/>
      <c r="K522" s="1"/>
      <c r="L522" s="1" t="s">
        <v>43</v>
      </c>
      <c r="M522" s="1" t="b">
        <v>1</v>
      </c>
      <c r="N522" s="1"/>
      <c r="O522">
        <v>1</v>
      </c>
      <c r="P522">
        <v>2</v>
      </c>
      <c r="Q522">
        <v>0</v>
      </c>
      <c r="R522" s="1">
        <f t="shared" si="122"/>
        <v>1</v>
      </c>
      <c r="S522" s="1">
        <f t="shared" si="123"/>
        <v>1</v>
      </c>
      <c r="T522" s="1">
        <f t="shared" si="124"/>
        <v>1</v>
      </c>
      <c r="U522" s="1">
        <f t="shared" si="125"/>
        <v>2</v>
      </c>
      <c r="V522" s="1">
        <f t="shared" si="126"/>
        <v>3</v>
      </c>
      <c r="W522" s="1" t="str">
        <f t="shared" si="127"/>
        <v>SacF</v>
      </c>
      <c r="X522" t="s">
        <v>149</v>
      </c>
      <c r="Y522" t="s">
        <v>149</v>
      </c>
      <c r="AB522">
        <v>4</v>
      </c>
      <c r="AI522">
        <v>4</v>
      </c>
      <c r="AJ522">
        <f t="shared" si="128"/>
        <v>100</v>
      </c>
      <c r="AK522">
        <f t="shared" si="129"/>
        <v>0</v>
      </c>
      <c r="AL522">
        <f t="shared" si="130"/>
        <v>3</v>
      </c>
      <c r="AM522">
        <f t="shared" si="120"/>
        <v>0</v>
      </c>
      <c r="AN522">
        <f t="shared" si="131"/>
        <v>3</v>
      </c>
      <c r="AO522">
        <f t="shared" si="132"/>
        <v>0</v>
      </c>
      <c r="AP522">
        <f t="shared" si="133"/>
        <v>0</v>
      </c>
      <c r="AQ522">
        <f t="shared" si="121"/>
        <v>0</v>
      </c>
      <c r="AR522">
        <f t="shared" si="134"/>
        <v>0</v>
      </c>
    </row>
    <row r="523" spans="1:44" x14ac:dyDescent="0.25">
      <c r="A523" t="s">
        <v>571</v>
      </c>
      <c r="B523">
        <v>0</v>
      </c>
      <c r="C523" t="s">
        <v>5</v>
      </c>
      <c r="D523" t="s">
        <v>7</v>
      </c>
      <c r="F523" t="s">
        <v>2</v>
      </c>
      <c r="H523" t="s">
        <v>3</v>
      </c>
      <c r="I523" s="1">
        <v>0</v>
      </c>
      <c r="J523" s="1" t="s">
        <v>5</v>
      </c>
      <c r="K523" s="1" t="s">
        <v>7</v>
      </c>
      <c r="L523" s="1"/>
      <c r="M523" s="1" t="b">
        <v>1</v>
      </c>
      <c r="N523" s="1"/>
      <c r="O523">
        <v>0</v>
      </c>
      <c r="P523">
        <v>2</v>
      </c>
      <c r="Q523">
        <v>5</v>
      </c>
      <c r="R523" s="1">
        <f t="shared" si="122"/>
        <v>0</v>
      </c>
      <c r="S523" s="1">
        <f t="shared" si="123"/>
        <v>1</v>
      </c>
      <c r="T523" s="1">
        <f t="shared" si="124"/>
        <v>1</v>
      </c>
      <c r="U523" s="1">
        <f t="shared" si="125"/>
        <v>2</v>
      </c>
      <c r="V523" s="1">
        <f t="shared" si="126"/>
        <v>4</v>
      </c>
      <c r="W523" s="1" t="str">
        <f t="shared" si="127"/>
        <v>SacF</v>
      </c>
      <c r="X523" t="s">
        <v>149</v>
      </c>
      <c r="Y523" t="s">
        <v>149</v>
      </c>
      <c r="Z523" t="s">
        <v>337</v>
      </c>
      <c r="AA523" t="s">
        <v>338</v>
      </c>
      <c r="AB523">
        <v>3</v>
      </c>
      <c r="AI523">
        <v>3</v>
      </c>
      <c r="AJ523">
        <f t="shared" si="128"/>
        <v>11</v>
      </c>
      <c r="AK523">
        <f t="shared" si="129"/>
        <v>101</v>
      </c>
      <c r="AL523">
        <f t="shared" si="130"/>
        <v>4</v>
      </c>
      <c r="AM523">
        <f t="shared" si="120"/>
        <v>5</v>
      </c>
      <c r="AN523">
        <f t="shared" si="131"/>
        <v>4</v>
      </c>
      <c r="AO523">
        <f t="shared" si="132"/>
        <v>5</v>
      </c>
      <c r="AP523">
        <f t="shared" si="133"/>
        <v>0</v>
      </c>
      <c r="AQ523">
        <f t="shared" si="121"/>
        <v>0</v>
      </c>
      <c r="AR523">
        <f t="shared" si="134"/>
        <v>0</v>
      </c>
    </row>
    <row r="524" spans="1:44" x14ac:dyDescent="0.25">
      <c r="A524" t="s">
        <v>572</v>
      </c>
      <c r="B524">
        <v>0</v>
      </c>
      <c r="C524" t="s">
        <v>5</v>
      </c>
      <c r="E524" t="s">
        <v>43</v>
      </c>
      <c r="F524" t="s">
        <v>2</v>
      </c>
      <c r="I524" s="1">
        <v>0</v>
      </c>
      <c r="J524" s="1" t="s">
        <v>5</v>
      </c>
      <c r="K524" s="1"/>
      <c r="L524" s="1" t="s">
        <v>43</v>
      </c>
      <c r="M524" s="1" t="b">
        <v>1</v>
      </c>
      <c r="N524" s="1"/>
      <c r="O524">
        <v>1</v>
      </c>
      <c r="P524">
        <v>2</v>
      </c>
      <c r="Q524">
        <v>1</v>
      </c>
      <c r="R524" s="1">
        <f t="shared" si="122"/>
        <v>1</v>
      </c>
      <c r="S524" s="1">
        <f t="shared" si="123"/>
        <v>1</v>
      </c>
      <c r="T524" s="1">
        <f t="shared" si="124"/>
        <v>1</v>
      </c>
      <c r="U524" s="1">
        <f t="shared" si="125"/>
        <v>2</v>
      </c>
      <c r="V524" s="1">
        <f t="shared" si="126"/>
        <v>5</v>
      </c>
      <c r="W524" s="1" t="str">
        <f t="shared" si="127"/>
        <v>SacF</v>
      </c>
      <c r="X524" t="s">
        <v>149</v>
      </c>
      <c r="Y524" t="s">
        <v>149</v>
      </c>
      <c r="AB524">
        <v>4</v>
      </c>
      <c r="AI524">
        <v>4</v>
      </c>
      <c r="AJ524">
        <f t="shared" si="128"/>
        <v>101</v>
      </c>
      <c r="AK524">
        <f t="shared" si="129"/>
        <v>1</v>
      </c>
      <c r="AL524">
        <f t="shared" si="130"/>
        <v>5</v>
      </c>
      <c r="AM524">
        <f t="shared" si="120"/>
        <v>1</v>
      </c>
      <c r="AN524">
        <f t="shared" si="131"/>
        <v>5</v>
      </c>
      <c r="AO524">
        <f t="shared" si="132"/>
        <v>1</v>
      </c>
      <c r="AP524">
        <f t="shared" si="133"/>
        <v>0</v>
      </c>
      <c r="AQ524">
        <f t="shared" si="121"/>
        <v>0</v>
      </c>
      <c r="AR524">
        <f t="shared" si="134"/>
        <v>0</v>
      </c>
    </row>
    <row r="525" spans="1:44" x14ac:dyDescent="0.25">
      <c r="A525" t="s">
        <v>573</v>
      </c>
      <c r="B525">
        <v>0</v>
      </c>
      <c r="D525" t="s">
        <v>6</v>
      </c>
      <c r="E525" t="s">
        <v>43</v>
      </c>
      <c r="G525" t="s">
        <v>3</v>
      </c>
      <c r="I525" s="1">
        <v>0</v>
      </c>
      <c r="J525" s="1"/>
      <c r="K525" s="1" t="s">
        <v>6</v>
      </c>
      <c r="L525" s="1" t="s">
        <v>43</v>
      </c>
      <c r="M525" s="1" t="b">
        <v>1</v>
      </c>
      <c r="N525" s="1"/>
      <c r="O525">
        <v>1</v>
      </c>
      <c r="P525">
        <v>2</v>
      </c>
      <c r="Q525">
        <v>2</v>
      </c>
      <c r="R525" s="1">
        <f t="shared" si="122"/>
        <v>1</v>
      </c>
      <c r="S525" s="1">
        <f t="shared" si="123"/>
        <v>1</v>
      </c>
      <c r="T525" s="1">
        <f t="shared" si="124"/>
        <v>1</v>
      </c>
      <c r="U525" s="1">
        <f t="shared" si="125"/>
        <v>2</v>
      </c>
      <c r="V525" s="1">
        <f t="shared" si="126"/>
        <v>6</v>
      </c>
      <c r="W525" s="1" t="str">
        <f t="shared" si="127"/>
        <v>SacF</v>
      </c>
      <c r="X525" t="s">
        <v>149</v>
      </c>
      <c r="Y525" t="s">
        <v>149</v>
      </c>
      <c r="AB525">
        <v>4</v>
      </c>
      <c r="AI525">
        <v>4</v>
      </c>
      <c r="AJ525">
        <f t="shared" si="128"/>
        <v>110</v>
      </c>
      <c r="AK525">
        <f t="shared" si="129"/>
        <v>10</v>
      </c>
      <c r="AL525">
        <f t="shared" si="130"/>
        <v>6</v>
      </c>
      <c r="AM525">
        <f t="shared" si="120"/>
        <v>2</v>
      </c>
      <c r="AN525">
        <f t="shared" si="131"/>
        <v>6</v>
      </c>
      <c r="AO525">
        <f t="shared" si="132"/>
        <v>2</v>
      </c>
      <c r="AP525">
        <f t="shared" si="133"/>
        <v>0</v>
      </c>
      <c r="AQ525">
        <f t="shared" si="121"/>
        <v>0</v>
      </c>
      <c r="AR525">
        <f t="shared" si="134"/>
        <v>0</v>
      </c>
    </row>
    <row r="526" spans="1:44" x14ac:dyDescent="0.25">
      <c r="A526" t="s">
        <v>574</v>
      </c>
      <c r="B526">
        <v>0</v>
      </c>
      <c r="C526" t="s">
        <v>5</v>
      </c>
      <c r="D526" t="s">
        <v>6</v>
      </c>
      <c r="E526" t="s">
        <v>43</v>
      </c>
      <c r="F526" t="s">
        <v>2</v>
      </c>
      <c r="G526" t="s">
        <v>3</v>
      </c>
      <c r="I526" s="1">
        <v>0</v>
      </c>
      <c r="J526" s="1" t="s">
        <v>5</v>
      </c>
      <c r="K526" s="1" t="s">
        <v>6</v>
      </c>
      <c r="L526" s="1" t="s">
        <v>43</v>
      </c>
      <c r="M526" s="1" t="b">
        <v>1</v>
      </c>
      <c r="N526" s="1"/>
      <c r="O526">
        <v>1</v>
      </c>
      <c r="P526">
        <v>2</v>
      </c>
      <c r="Q526">
        <v>4</v>
      </c>
      <c r="R526" s="1">
        <f t="shared" si="122"/>
        <v>1</v>
      </c>
      <c r="S526" s="1">
        <f t="shared" si="123"/>
        <v>1</v>
      </c>
      <c r="T526" s="1">
        <f t="shared" si="124"/>
        <v>1</v>
      </c>
      <c r="U526" s="1">
        <f t="shared" si="125"/>
        <v>2</v>
      </c>
      <c r="V526" s="1">
        <f t="shared" si="126"/>
        <v>7</v>
      </c>
      <c r="W526" s="1" t="str">
        <f t="shared" si="127"/>
        <v>SacF</v>
      </c>
      <c r="X526" t="s">
        <v>149</v>
      </c>
      <c r="Y526" t="s">
        <v>149</v>
      </c>
      <c r="AB526">
        <v>4</v>
      </c>
      <c r="AI526">
        <v>4</v>
      </c>
      <c r="AJ526">
        <f t="shared" si="128"/>
        <v>111</v>
      </c>
      <c r="AK526">
        <f t="shared" si="129"/>
        <v>11</v>
      </c>
      <c r="AL526">
        <f t="shared" si="130"/>
        <v>7</v>
      </c>
      <c r="AM526">
        <f t="shared" si="120"/>
        <v>4</v>
      </c>
      <c r="AN526">
        <f t="shared" si="131"/>
        <v>7</v>
      </c>
      <c r="AO526">
        <f t="shared" si="132"/>
        <v>4</v>
      </c>
      <c r="AP526">
        <f t="shared" si="133"/>
        <v>0</v>
      </c>
      <c r="AQ526">
        <f t="shared" si="121"/>
        <v>0</v>
      </c>
      <c r="AR526">
        <f t="shared" si="134"/>
        <v>0</v>
      </c>
    </row>
    <row r="527" spans="1:44" x14ac:dyDescent="0.25">
      <c r="A527" t="s">
        <v>575</v>
      </c>
      <c r="C527" t="s">
        <v>6</v>
      </c>
      <c r="G527" t="s">
        <v>2</v>
      </c>
      <c r="I527" s="1"/>
      <c r="J527" s="1" t="s">
        <v>6</v>
      </c>
      <c r="K527" s="1"/>
      <c r="L527" s="1"/>
      <c r="M527" s="1" t="b">
        <v>0</v>
      </c>
      <c r="N527" s="1"/>
      <c r="O527">
        <v>0</v>
      </c>
      <c r="P527">
        <v>0</v>
      </c>
      <c r="Q527">
        <v>2</v>
      </c>
      <c r="R527" s="1">
        <f t="shared" si="122"/>
        <v>0</v>
      </c>
      <c r="S527" s="1">
        <f t="shared" si="123"/>
        <v>0</v>
      </c>
      <c r="T527" s="1">
        <f t="shared" si="124"/>
        <v>0</v>
      </c>
      <c r="U527" s="1">
        <f t="shared" si="125"/>
        <v>0</v>
      </c>
      <c r="V527" s="1">
        <f t="shared" si="126"/>
        <v>1</v>
      </c>
      <c r="W527" s="1" t="str">
        <f t="shared" si="127"/>
        <v>SB</v>
      </c>
      <c r="X527" t="s">
        <v>149</v>
      </c>
      <c r="Y527" t="s">
        <v>149</v>
      </c>
      <c r="AA527" t="s">
        <v>304</v>
      </c>
      <c r="AB527">
        <v>2</v>
      </c>
      <c r="AJ527">
        <f t="shared" si="128"/>
        <v>1</v>
      </c>
      <c r="AK527">
        <f t="shared" si="129"/>
        <v>10</v>
      </c>
      <c r="AL527">
        <f t="shared" si="130"/>
        <v>1</v>
      </c>
      <c r="AM527">
        <f t="shared" si="120"/>
        <v>2</v>
      </c>
      <c r="AN527">
        <f t="shared" si="131"/>
        <v>1</v>
      </c>
      <c r="AO527">
        <f t="shared" si="132"/>
        <v>2</v>
      </c>
      <c r="AP527">
        <f t="shared" si="133"/>
        <v>0</v>
      </c>
      <c r="AQ527">
        <f t="shared" si="121"/>
        <v>0</v>
      </c>
      <c r="AR527">
        <f t="shared" si="134"/>
        <v>0</v>
      </c>
    </row>
    <row r="528" spans="1:44" x14ac:dyDescent="0.25">
      <c r="A528" t="s">
        <v>576</v>
      </c>
      <c r="C528" t="s">
        <v>6</v>
      </c>
      <c r="E528" t="s">
        <v>7</v>
      </c>
      <c r="G528" t="s">
        <v>2</v>
      </c>
      <c r="H528" t="s">
        <v>4</v>
      </c>
      <c r="I528" s="1"/>
      <c r="J528" s="1" t="s">
        <v>6</v>
      </c>
      <c r="K528" s="1"/>
      <c r="L528" s="1" t="s">
        <v>7</v>
      </c>
      <c r="M528" s="1" t="b">
        <v>0</v>
      </c>
      <c r="N528" s="1"/>
      <c r="O528">
        <v>0</v>
      </c>
      <c r="P528">
        <v>0</v>
      </c>
      <c r="Q528">
        <v>6</v>
      </c>
      <c r="R528" s="1">
        <f t="shared" si="122"/>
        <v>0</v>
      </c>
      <c r="S528" s="1">
        <f t="shared" si="123"/>
        <v>0</v>
      </c>
      <c r="T528" s="1">
        <f t="shared" si="124"/>
        <v>0</v>
      </c>
      <c r="U528" s="1">
        <f t="shared" si="125"/>
        <v>0</v>
      </c>
      <c r="V528" s="1">
        <f t="shared" si="126"/>
        <v>5</v>
      </c>
      <c r="W528" s="1" t="str">
        <f t="shared" si="127"/>
        <v>SB</v>
      </c>
      <c r="X528" t="s">
        <v>149</v>
      </c>
      <c r="Y528" t="s">
        <v>149</v>
      </c>
      <c r="AA528" t="s">
        <v>304</v>
      </c>
      <c r="AB528">
        <v>2</v>
      </c>
      <c r="AJ528">
        <f t="shared" si="128"/>
        <v>101</v>
      </c>
      <c r="AK528">
        <f t="shared" si="129"/>
        <v>110</v>
      </c>
      <c r="AL528">
        <f t="shared" si="130"/>
        <v>5</v>
      </c>
      <c r="AM528">
        <f t="shared" si="120"/>
        <v>6</v>
      </c>
      <c r="AN528">
        <f t="shared" si="131"/>
        <v>5</v>
      </c>
      <c r="AO528">
        <f t="shared" si="132"/>
        <v>6</v>
      </c>
      <c r="AP528">
        <f t="shared" si="133"/>
        <v>0</v>
      </c>
      <c r="AQ528">
        <f t="shared" si="121"/>
        <v>0</v>
      </c>
      <c r="AR528">
        <f t="shared" si="134"/>
        <v>0</v>
      </c>
    </row>
    <row r="529" spans="1:44" x14ac:dyDescent="0.25">
      <c r="A529" t="s">
        <v>577</v>
      </c>
      <c r="C529" t="s">
        <v>6</v>
      </c>
      <c r="G529" t="s">
        <v>2</v>
      </c>
      <c r="I529" s="1"/>
      <c r="J529" s="1" t="s">
        <v>6</v>
      </c>
      <c r="K529" s="1"/>
      <c r="L529" s="1"/>
      <c r="M529" s="1" t="b">
        <v>0</v>
      </c>
      <c r="N529" s="1"/>
      <c r="O529">
        <v>0</v>
      </c>
      <c r="P529">
        <v>1</v>
      </c>
      <c r="Q529">
        <v>2</v>
      </c>
      <c r="R529" s="1">
        <f t="shared" si="122"/>
        <v>0</v>
      </c>
      <c r="S529" s="1">
        <f t="shared" si="123"/>
        <v>1</v>
      </c>
      <c r="T529" s="1">
        <f t="shared" si="124"/>
        <v>0</v>
      </c>
      <c r="U529" s="1">
        <f t="shared" si="125"/>
        <v>1</v>
      </c>
      <c r="V529" s="1">
        <f t="shared" si="126"/>
        <v>1</v>
      </c>
      <c r="W529" s="1" t="str">
        <f t="shared" si="127"/>
        <v>SB</v>
      </c>
      <c r="X529" t="s">
        <v>149</v>
      </c>
      <c r="Y529" t="s">
        <v>149</v>
      </c>
      <c r="AA529" t="s">
        <v>304</v>
      </c>
      <c r="AB529">
        <v>2</v>
      </c>
      <c r="AJ529">
        <f t="shared" si="128"/>
        <v>1</v>
      </c>
      <c r="AK529">
        <f t="shared" si="129"/>
        <v>10</v>
      </c>
      <c r="AL529">
        <f t="shared" si="130"/>
        <v>1</v>
      </c>
      <c r="AM529">
        <f t="shared" si="120"/>
        <v>2</v>
      </c>
      <c r="AN529">
        <f t="shared" si="131"/>
        <v>1</v>
      </c>
      <c r="AO529">
        <f t="shared" si="132"/>
        <v>2</v>
      </c>
      <c r="AP529">
        <f t="shared" si="133"/>
        <v>0</v>
      </c>
      <c r="AQ529">
        <f t="shared" si="121"/>
        <v>0</v>
      </c>
      <c r="AR529">
        <f t="shared" si="134"/>
        <v>0</v>
      </c>
    </row>
    <row r="530" spans="1:44" x14ac:dyDescent="0.25">
      <c r="A530" t="s">
        <v>578</v>
      </c>
      <c r="C530" t="s">
        <v>6</v>
      </c>
      <c r="E530" t="s">
        <v>7</v>
      </c>
      <c r="G530" t="s">
        <v>2</v>
      </c>
      <c r="H530" t="s">
        <v>4</v>
      </c>
      <c r="I530" s="1"/>
      <c r="J530" s="1" t="s">
        <v>6</v>
      </c>
      <c r="K530" s="1"/>
      <c r="L530" s="1" t="s">
        <v>7</v>
      </c>
      <c r="M530" s="1" t="b">
        <v>0</v>
      </c>
      <c r="N530" s="1"/>
      <c r="O530">
        <v>0</v>
      </c>
      <c r="P530">
        <v>1</v>
      </c>
      <c r="Q530">
        <v>6</v>
      </c>
      <c r="R530" s="1">
        <f t="shared" si="122"/>
        <v>0</v>
      </c>
      <c r="S530" s="1">
        <f t="shared" si="123"/>
        <v>1</v>
      </c>
      <c r="T530" s="1">
        <f t="shared" si="124"/>
        <v>0</v>
      </c>
      <c r="U530" s="1">
        <f t="shared" si="125"/>
        <v>1</v>
      </c>
      <c r="V530" s="1">
        <f t="shared" si="126"/>
        <v>5</v>
      </c>
      <c r="W530" s="1" t="str">
        <f t="shared" si="127"/>
        <v>SB</v>
      </c>
      <c r="X530" t="s">
        <v>149</v>
      </c>
      <c r="Y530" t="s">
        <v>149</v>
      </c>
      <c r="AA530" t="s">
        <v>304</v>
      </c>
      <c r="AB530">
        <v>2</v>
      </c>
      <c r="AJ530">
        <f t="shared" si="128"/>
        <v>101</v>
      </c>
      <c r="AK530">
        <f t="shared" si="129"/>
        <v>110</v>
      </c>
      <c r="AL530">
        <f t="shared" si="130"/>
        <v>5</v>
      </c>
      <c r="AM530">
        <f t="shared" si="120"/>
        <v>6</v>
      </c>
      <c r="AN530">
        <f t="shared" si="131"/>
        <v>5</v>
      </c>
      <c r="AO530">
        <f t="shared" si="132"/>
        <v>6</v>
      </c>
      <c r="AP530">
        <f t="shared" si="133"/>
        <v>0</v>
      </c>
      <c r="AQ530">
        <f t="shared" si="121"/>
        <v>0</v>
      </c>
      <c r="AR530">
        <f t="shared" si="134"/>
        <v>0</v>
      </c>
    </row>
    <row r="531" spans="1:44" x14ac:dyDescent="0.25">
      <c r="A531" t="s">
        <v>579</v>
      </c>
      <c r="C531" t="s">
        <v>6</v>
      </c>
      <c r="G531" t="s">
        <v>2</v>
      </c>
      <c r="I531" s="1"/>
      <c r="J531" s="1" t="s">
        <v>6</v>
      </c>
      <c r="K531" s="1"/>
      <c r="L531" s="1"/>
      <c r="M531" s="1" t="b">
        <v>0</v>
      </c>
      <c r="N531" s="1"/>
      <c r="O531">
        <v>0</v>
      </c>
      <c r="P531">
        <v>2</v>
      </c>
      <c r="Q531">
        <v>2</v>
      </c>
      <c r="R531" s="1">
        <f t="shared" si="122"/>
        <v>0</v>
      </c>
      <c r="S531" s="1">
        <f t="shared" si="123"/>
        <v>2</v>
      </c>
      <c r="T531" s="1">
        <f t="shared" si="124"/>
        <v>0</v>
      </c>
      <c r="U531" s="1">
        <f t="shared" si="125"/>
        <v>2</v>
      </c>
      <c r="V531" s="1">
        <f t="shared" si="126"/>
        <v>1</v>
      </c>
      <c r="W531" s="1" t="str">
        <f t="shared" si="127"/>
        <v>SB</v>
      </c>
      <c r="X531" t="s">
        <v>149</v>
      </c>
      <c r="Y531" t="s">
        <v>149</v>
      </c>
      <c r="AA531" t="s">
        <v>304</v>
      </c>
      <c r="AB531">
        <v>2</v>
      </c>
      <c r="AJ531">
        <f t="shared" si="128"/>
        <v>1</v>
      </c>
      <c r="AK531">
        <f t="shared" si="129"/>
        <v>10</v>
      </c>
      <c r="AL531">
        <f t="shared" si="130"/>
        <v>1</v>
      </c>
      <c r="AM531">
        <f t="shared" si="120"/>
        <v>2</v>
      </c>
      <c r="AN531">
        <f t="shared" si="131"/>
        <v>1</v>
      </c>
      <c r="AO531">
        <f t="shared" si="132"/>
        <v>2</v>
      </c>
      <c r="AP531">
        <f t="shared" si="133"/>
        <v>0</v>
      </c>
      <c r="AQ531">
        <f t="shared" si="121"/>
        <v>0</v>
      </c>
      <c r="AR531">
        <f t="shared" si="134"/>
        <v>0</v>
      </c>
    </row>
    <row r="532" spans="1:44" x14ac:dyDescent="0.25">
      <c r="A532" t="s">
        <v>580</v>
      </c>
      <c r="C532" t="s">
        <v>6</v>
      </c>
      <c r="E532" t="s">
        <v>7</v>
      </c>
      <c r="G532" t="s">
        <v>2</v>
      </c>
      <c r="H532" t="s">
        <v>4</v>
      </c>
      <c r="I532" s="1"/>
      <c r="J532" s="1" t="s">
        <v>6</v>
      </c>
      <c r="K532" s="1"/>
      <c r="L532" s="1" t="s">
        <v>7</v>
      </c>
      <c r="M532" s="1" t="b">
        <v>0</v>
      </c>
      <c r="N532" s="1"/>
      <c r="O532">
        <v>0</v>
      </c>
      <c r="P532">
        <v>2</v>
      </c>
      <c r="Q532">
        <v>6</v>
      </c>
      <c r="R532" s="1">
        <f t="shared" si="122"/>
        <v>0</v>
      </c>
      <c r="S532" s="1">
        <f t="shared" si="123"/>
        <v>2</v>
      </c>
      <c r="T532" s="1">
        <f t="shared" si="124"/>
        <v>0</v>
      </c>
      <c r="U532" s="1">
        <f t="shared" si="125"/>
        <v>2</v>
      </c>
      <c r="V532" s="1">
        <f t="shared" si="126"/>
        <v>5</v>
      </c>
      <c r="W532" s="1" t="str">
        <f t="shared" si="127"/>
        <v>SB</v>
      </c>
      <c r="X532" t="s">
        <v>149</v>
      </c>
      <c r="Y532" t="s">
        <v>149</v>
      </c>
      <c r="AA532" t="s">
        <v>304</v>
      </c>
      <c r="AB532">
        <v>2</v>
      </c>
      <c r="AJ532">
        <f t="shared" si="128"/>
        <v>101</v>
      </c>
      <c r="AK532">
        <f t="shared" si="129"/>
        <v>110</v>
      </c>
      <c r="AL532">
        <f t="shared" si="130"/>
        <v>5</v>
      </c>
      <c r="AM532">
        <f t="shared" si="120"/>
        <v>6</v>
      </c>
      <c r="AN532">
        <f t="shared" si="131"/>
        <v>5</v>
      </c>
      <c r="AO532">
        <f t="shared" si="132"/>
        <v>6</v>
      </c>
      <c r="AP532">
        <f t="shared" si="133"/>
        <v>0</v>
      </c>
      <c r="AQ532">
        <f t="shared" si="121"/>
        <v>0</v>
      </c>
      <c r="AR532">
        <f t="shared" si="134"/>
        <v>0</v>
      </c>
    </row>
    <row r="533" spans="1:44" x14ac:dyDescent="0.25">
      <c r="A533" t="s">
        <v>581</v>
      </c>
      <c r="C533" t="s">
        <v>6</v>
      </c>
      <c r="G533" t="s">
        <v>2</v>
      </c>
      <c r="I533" s="1"/>
      <c r="J533" s="1" t="s">
        <v>6</v>
      </c>
      <c r="K533" s="1"/>
      <c r="L533" s="1"/>
      <c r="M533" s="1" t="b">
        <v>0</v>
      </c>
      <c r="N533" s="1"/>
      <c r="O533">
        <v>0</v>
      </c>
      <c r="P533">
        <v>0</v>
      </c>
      <c r="Q533">
        <v>2</v>
      </c>
      <c r="R533" s="1">
        <f t="shared" si="122"/>
        <v>0</v>
      </c>
      <c r="S533" s="1">
        <f t="shared" si="123"/>
        <v>0</v>
      </c>
      <c r="T533" s="1">
        <f t="shared" si="124"/>
        <v>0</v>
      </c>
      <c r="U533" s="1">
        <f t="shared" si="125"/>
        <v>0</v>
      </c>
      <c r="V533" s="1">
        <f t="shared" si="126"/>
        <v>1</v>
      </c>
      <c r="W533" s="1" t="str">
        <f t="shared" si="127"/>
        <v>SB2</v>
      </c>
      <c r="X533" t="s">
        <v>149</v>
      </c>
      <c r="Y533" t="s">
        <v>149</v>
      </c>
      <c r="AA533" t="s">
        <v>304</v>
      </c>
      <c r="AB533">
        <v>2</v>
      </c>
      <c r="AJ533">
        <f t="shared" si="128"/>
        <v>1</v>
      </c>
      <c r="AK533">
        <f t="shared" si="129"/>
        <v>10</v>
      </c>
      <c r="AL533">
        <f t="shared" si="130"/>
        <v>1</v>
      </c>
      <c r="AM533">
        <f t="shared" si="120"/>
        <v>2</v>
      </c>
      <c r="AN533">
        <f t="shared" si="131"/>
        <v>1</v>
      </c>
      <c r="AO533">
        <f t="shared" si="132"/>
        <v>2</v>
      </c>
      <c r="AP533">
        <f t="shared" si="133"/>
        <v>0</v>
      </c>
      <c r="AQ533">
        <f t="shared" si="121"/>
        <v>0</v>
      </c>
      <c r="AR533">
        <f t="shared" si="134"/>
        <v>0</v>
      </c>
    </row>
    <row r="534" spans="1:44" x14ac:dyDescent="0.25">
      <c r="A534" t="s">
        <v>582</v>
      </c>
      <c r="C534" t="s">
        <v>6</v>
      </c>
      <c r="E534" t="s">
        <v>7</v>
      </c>
      <c r="G534" t="s">
        <v>2</v>
      </c>
      <c r="H534" t="s">
        <v>4</v>
      </c>
      <c r="I534" s="1"/>
      <c r="J534" s="1" t="s">
        <v>6</v>
      </c>
      <c r="K534" s="1"/>
      <c r="L534" s="1" t="s">
        <v>7</v>
      </c>
      <c r="M534" s="1" t="b">
        <v>0</v>
      </c>
      <c r="N534" s="1"/>
      <c r="O534">
        <v>0</v>
      </c>
      <c r="P534">
        <v>0</v>
      </c>
      <c r="Q534">
        <v>6</v>
      </c>
      <c r="R534" s="1">
        <f t="shared" si="122"/>
        <v>0</v>
      </c>
      <c r="S534" s="1">
        <f t="shared" si="123"/>
        <v>0</v>
      </c>
      <c r="T534" s="1">
        <f t="shared" si="124"/>
        <v>0</v>
      </c>
      <c r="U534" s="1">
        <f t="shared" si="125"/>
        <v>0</v>
      </c>
      <c r="V534" s="1">
        <f t="shared" si="126"/>
        <v>5</v>
      </c>
      <c r="W534" s="1" t="str">
        <f t="shared" si="127"/>
        <v>SB2</v>
      </c>
      <c r="X534" t="s">
        <v>149</v>
      </c>
      <c r="Y534" t="s">
        <v>149</v>
      </c>
      <c r="AA534" t="s">
        <v>304</v>
      </c>
      <c r="AB534">
        <v>2</v>
      </c>
      <c r="AJ534">
        <f t="shared" si="128"/>
        <v>101</v>
      </c>
      <c r="AK534">
        <f t="shared" si="129"/>
        <v>110</v>
      </c>
      <c r="AL534">
        <f t="shared" si="130"/>
        <v>5</v>
      </c>
      <c r="AM534">
        <f t="shared" si="120"/>
        <v>6</v>
      </c>
      <c r="AN534">
        <f t="shared" si="131"/>
        <v>5</v>
      </c>
      <c r="AO534">
        <f t="shared" si="132"/>
        <v>6</v>
      </c>
      <c r="AP534">
        <f t="shared" si="133"/>
        <v>0</v>
      </c>
      <c r="AQ534">
        <f t="shared" si="121"/>
        <v>0</v>
      </c>
      <c r="AR534">
        <f t="shared" si="134"/>
        <v>0</v>
      </c>
    </row>
    <row r="535" spans="1:44" x14ac:dyDescent="0.25">
      <c r="A535" t="s">
        <v>583</v>
      </c>
      <c r="C535" t="s">
        <v>6</v>
      </c>
      <c r="G535" t="s">
        <v>2</v>
      </c>
      <c r="I535" s="1"/>
      <c r="J535" s="1" t="s">
        <v>6</v>
      </c>
      <c r="K535" s="1"/>
      <c r="L535" s="1"/>
      <c r="M535" s="1" t="b">
        <v>0</v>
      </c>
      <c r="N535" s="1"/>
      <c r="O535">
        <v>0</v>
      </c>
      <c r="P535">
        <v>1</v>
      </c>
      <c r="Q535">
        <v>2</v>
      </c>
      <c r="R535" s="1">
        <f t="shared" si="122"/>
        <v>0</v>
      </c>
      <c r="S535" s="1">
        <f t="shared" si="123"/>
        <v>1</v>
      </c>
      <c r="T535" s="1">
        <f t="shared" si="124"/>
        <v>0</v>
      </c>
      <c r="U535" s="1">
        <f t="shared" si="125"/>
        <v>1</v>
      </c>
      <c r="V535" s="1">
        <f t="shared" si="126"/>
        <v>1</v>
      </c>
      <c r="W535" s="1" t="str">
        <f t="shared" si="127"/>
        <v>SB2</v>
      </c>
      <c r="X535" t="s">
        <v>149</v>
      </c>
      <c r="Y535" t="s">
        <v>149</v>
      </c>
      <c r="AA535" t="s">
        <v>304</v>
      </c>
      <c r="AB535">
        <v>2</v>
      </c>
      <c r="AJ535">
        <f t="shared" si="128"/>
        <v>1</v>
      </c>
      <c r="AK535">
        <f t="shared" si="129"/>
        <v>10</v>
      </c>
      <c r="AL535">
        <f t="shared" si="130"/>
        <v>1</v>
      </c>
      <c r="AM535">
        <f t="shared" si="120"/>
        <v>2</v>
      </c>
      <c r="AN535">
        <f t="shared" si="131"/>
        <v>1</v>
      </c>
      <c r="AO535">
        <f t="shared" si="132"/>
        <v>2</v>
      </c>
      <c r="AP535">
        <f t="shared" si="133"/>
        <v>0</v>
      </c>
      <c r="AQ535">
        <f t="shared" si="121"/>
        <v>0</v>
      </c>
      <c r="AR535">
        <f t="shared" si="134"/>
        <v>0</v>
      </c>
    </row>
    <row r="536" spans="1:44" x14ac:dyDescent="0.25">
      <c r="A536" t="s">
        <v>584</v>
      </c>
      <c r="C536" t="s">
        <v>6</v>
      </c>
      <c r="E536" t="s">
        <v>7</v>
      </c>
      <c r="G536" t="s">
        <v>2</v>
      </c>
      <c r="H536" t="s">
        <v>4</v>
      </c>
      <c r="I536" s="1"/>
      <c r="J536" s="1" t="s">
        <v>6</v>
      </c>
      <c r="K536" s="1"/>
      <c r="L536" s="1" t="s">
        <v>7</v>
      </c>
      <c r="M536" s="1" t="b">
        <v>0</v>
      </c>
      <c r="N536" s="1"/>
      <c r="O536">
        <v>0</v>
      </c>
      <c r="P536">
        <v>1</v>
      </c>
      <c r="Q536">
        <v>6</v>
      </c>
      <c r="R536" s="1">
        <f t="shared" si="122"/>
        <v>0</v>
      </c>
      <c r="S536" s="1">
        <f t="shared" si="123"/>
        <v>1</v>
      </c>
      <c r="T536" s="1">
        <f t="shared" si="124"/>
        <v>0</v>
      </c>
      <c r="U536" s="1">
        <f t="shared" si="125"/>
        <v>1</v>
      </c>
      <c r="V536" s="1">
        <f t="shared" si="126"/>
        <v>5</v>
      </c>
      <c r="W536" s="1" t="str">
        <f t="shared" si="127"/>
        <v>SB2</v>
      </c>
      <c r="X536" t="s">
        <v>149</v>
      </c>
      <c r="Y536" t="s">
        <v>149</v>
      </c>
      <c r="AA536" t="s">
        <v>304</v>
      </c>
      <c r="AB536">
        <v>2</v>
      </c>
      <c r="AJ536">
        <f t="shared" si="128"/>
        <v>101</v>
      </c>
      <c r="AK536">
        <f t="shared" si="129"/>
        <v>110</v>
      </c>
      <c r="AL536">
        <f t="shared" si="130"/>
        <v>5</v>
      </c>
      <c r="AM536">
        <f t="shared" si="120"/>
        <v>6</v>
      </c>
      <c r="AN536">
        <f t="shared" si="131"/>
        <v>5</v>
      </c>
      <c r="AO536">
        <f t="shared" si="132"/>
        <v>6</v>
      </c>
      <c r="AP536">
        <f t="shared" si="133"/>
        <v>0</v>
      </c>
      <c r="AQ536">
        <f t="shared" si="121"/>
        <v>0</v>
      </c>
      <c r="AR536">
        <f t="shared" si="134"/>
        <v>0</v>
      </c>
    </row>
    <row r="537" spans="1:44" x14ac:dyDescent="0.25">
      <c r="A537" t="s">
        <v>585</v>
      </c>
      <c r="C537" t="s">
        <v>6</v>
      </c>
      <c r="G537" t="s">
        <v>2</v>
      </c>
      <c r="I537" s="1"/>
      <c r="J537" s="1" t="s">
        <v>6</v>
      </c>
      <c r="K537" s="1"/>
      <c r="L537" s="1"/>
      <c r="M537" s="1" t="b">
        <v>0</v>
      </c>
      <c r="N537" s="1"/>
      <c r="O537">
        <v>0</v>
      </c>
      <c r="P537">
        <v>2</v>
      </c>
      <c r="Q537">
        <v>2</v>
      </c>
      <c r="R537" s="1">
        <f t="shared" si="122"/>
        <v>0</v>
      </c>
      <c r="S537" s="1">
        <f t="shared" si="123"/>
        <v>2</v>
      </c>
      <c r="T537" s="1">
        <f t="shared" si="124"/>
        <v>0</v>
      </c>
      <c r="U537" s="1">
        <f t="shared" si="125"/>
        <v>2</v>
      </c>
      <c r="V537" s="1">
        <f t="shared" si="126"/>
        <v>1</v>
      </c>
      <c r="W537" s="1" t="str">
        <f t="shared" si="127"/>
        <v>SB2</v>
      </c>
      <c r="X537" t="s">
        <v>149</v>
      </c>
      <c r="Y537" t="s">
        <v>149</v>
      </c>
      <c r="AA537" t="s">
        <v>304</v>
      </c>
      <c r="AB537">
        <v>2</v>
      </c>
      <c r="AJ537">
        <f t="shared" si="128"/>
        <v>1</v>
      </c>
      <c r="AK537">
        <f t="shared" si="129"/>
        <v>10</v>
      </c>
      <c r="AL537">
        <f t="shared" si="130"/>
        <v>1</v>
      </c>
      <c r="AM537">
        <f t="shared" si="120"/>
        <v>2</v>
      </c>
      <c r="AN537">
        <f t="shared" si="131"/>
        <v>1</v>
      </c>
      <c r="AO537">
        <f t="shared" si="132"/>
        <v>2</v>
      </c>
      <c r="AP537">
        <f t="shared" si="133"/>
        <v>0</v>
      </c>
      <c r="AQ537">
        <f t="shared" si="121"/>
        <v>0</v>
      </c>
      <c r="AR537">
        <f t="shared" si="134"/>
        <v>0</v>
      </c>
    </row>
    <row r="538" spans="1:44" x14ac:dyDescent="0.25">
      <c r="A538" t="s">
        <v>586</v>
      </c>
      <c r="C538" t="s">
        <v>6</v>
      </c>
      <c r="E538" t="s">
        <v>7</v>
      </c>
      <c r="G538" t="s">
        <v>2</v>
      </c>
      <c r="H538" t="s">
        <v>4</v>
      </c>
      <c r="I538" s="1"/>
      <c r="J538" s="1" t="s">
        <v>6</v>
      </c>
      <c r="K538" s="1"/>
      <c r="L538" s="1" t="s">
        <v>7</v>
      </c>
      <c r="M538" s="1" t="b">
        <v>0</v>
      </c>
      <c r="N538" s="1"/>
      <c r="O538">
        <v>0</v>
      </c>
      <c r="P538">
        <v>2</v>
      </c>
      <c r="Q538">
        <v>6</v>
      </c>
      <c r="R538" s="1">
        <f t="shared" si="122"/>
        <v>0</v>
      </c>
      <c r="S538" s="1">
        <f t="shared" si="123"/>
        <v>2</v>
      </c>
      <c r="T538" s="1">
        <f t="shared" si="124"/>
        <v>0</v>
      </c>
      <c r="U538" s="1">
        <f t="shared" si="125"/>
        <v>2</v>
      </c>
      <c r="V538" s="1">
        <f t="shared" si="126"/>
        <v>5</v>
      </c>
      <c r="W538" s="1" t="str">
        <f t="shared" si="127"/>
        <v>SB2</v>
      </c>
      <c r="X538" t="s">
        <v>149</v>
      </c>
      <c r="Y538" t="s">
        <v>149</v>
      </c>
      <c r="AA538" t="s">
        <v>304</v>
      </c>
      <c r="AB538">
        <v>2</v>
      </c>
      <c r="AJ538">
        <f t="shared" si="128"/>
        <v>101</v>
      </c>
      <c r="AK538">
        <f t="shared" si="129"/>
        <v>110</v>
      </c>
      <c r="AL538">
        <f t="shared" si="130"/>
        <v>5</v>
      </c>
      <c r="AM538">
        <f t="shared" si="120"/>
        <v>6</v>
      </c>
      <c r="AN538">
        <f t="shared" si="131"/>
        <v>5</v>
      </c>
      <c r="AO538">
        <f t="shared" si="132"/>
        <v>6</v>
      </c>
      <c r="AP538">
        <f t="shared" si="133"/>
        <v>0</v>
      </c>
      <c r="AQ538">
        <f t="shared" si="121"/>
        <v>0</v>
      </c>
      <c r="AR538">
        <f t="shared" si="134"/>
        <v>0</v>
      </c>
    </row>
    <row r="539" spans="1:44" x14ac:dyDescent="0.25">
      <c r="A539" t="s">
        <v>587</v>
      </c>
      <c r="D539" t="s">
        <v>7</v>
      </c>
      <c r="H539" t="s">
        <v>3</v>
      </c>
      <c r="I539" s="1"/>
      <c r="J539" s="1"/>
      <c r="K539" s="1" t="s">
        <v>7</v>
      </c>
      <c r="L539" s="1"/>
      <c r="M539" s="1" t="b">
        <v>0</v>
      </c>
      <c r="N539" s="1"/>
      <c r="O539">
        <v>0</v>
      </c>
      <c r="P539">
        <v>0</v>
      </c>
      <c r="Q539">
        <v>3</v>
      </c>
      <c r="R539" s="1">
        <f t="shared" si="122"/>
        <v>0</v>
      </c>
      <c r="S539" s="1">
        <f t="shared" si="123"/>
        <v>0</v>
      </c>
      <c r="T539" s="1">
        <f t="shared" si="124"/>
        <v>0</v>
      </c>
      <c r="U539" s="1">
        <f t="shared" si="125"/>
        <v>0</v>
      </c>
      <c r="V539" s="1">
        <f t="shared" si="126"/>
        <v>2</v>
      </c>
      <c r="W539" s="1" t="str">
        <f t="shared" si="127"/>
        <v>SB3</v>
      </c>
      <c r="X539" t="s">
        <v>149</v>
      </c>
      <c r="Y539" t="s">
        <v>149</v>
      </c>
      <c r="AA539" t="s">
        <v>304</v>
      </c>
      <c r="AB539">
        <v>3</v>
      </c>
      <c r="AJ539">
        <f t="shared" si="128"/>
        <v>10</v>
      </c>
      <c r="AK539">
        <f t="shared" si="129"/>
        <v>100</v>
      </c>
      <c r="AL539">
        <f t="shared" si="130"/>
        <v>2</v>
      </c>
      <c r="AM539">
        <f t="shared" si="120"/>
        <v>3</v>
      </c>
      <c r="AN539">
        <f t="shared" si="131"/>
        <v>2</v>
      </c>
      <c r="AO539">
        <f t="shared" si="132"/>
        <v>3</v>
      </c>
      <c r="AP539">
        <f t="shared" si="133"/>
        <v>0</v>
      </c>
      <c r="AQ539">
        <f t="shared" si="121"/>
        <v>0</v>
      </c>
      <c r="AR539">
        <f t="shared" si="134"/>
        <v>0</v>
      </c>
    </row>
    <row r="540" spans="1:44" x14ac:dyDescent="0.25">
      <c r="A540" t="s">
        <v>588</v>
      </c>
      <c r="C540" t="s">
        <v>5</v>
      </c>
      <c r="D540" t="s">
        <v>7</v>
      </c>
      <c r="F540" t="s">
        <v>2</v>
      </c>
      <c r="H540" t="s">
        <v>3</v>
      </c>
      <c r="I540" s="1"/>
      <c r="J540" s="1" t="s">
        <v>5</v>
      </c>
      <c r="K540" s="1" t="s">
        <v>7</v>
      </c>
      <c r="L540" s="1"/>
      <c r="M540" s="1" t="b">
        <v>0</v>
      </c>
      <c r="N540" s="1"/>
      <c r="O540">
        <v>0</v>
      </c>
      <c r="P540">
        <v>0</v>
      </c>
      <c r="Q540">
        <v>5</v>
      </c>
      <c r="R540" s="1">
        <f t="shared" si="122"/>
        <v>0</v>
      </c>
      <c r="S540" s="1">
        <f t="shared" si="123"/>
        <v>0</v>
      </c>
      <c r="T540" s="1">
        <f t="shared" si="124"/>
        <v>0</v>
      </c>
      <c r="U540" s="1">
        <f t="shared" si="125"/>
        <v>0</v>
      </c>
      <c r="V540" s="1">
        <f t="shared" si="126"/>
        <v>4</v>
      </c>
      <c r="W540" s="1" t="str">
        <f t="shared" si="127"/>
        <v>SB3</v>
      </c>
      <c r="X540" t="s">
        <v>149</v>
      </c>
      <c r="Y540" t="s">
        <v>149</v>
      </c>
      <c r="AA540" t="s">
        <v>304</v>
      </c>
      <c r="AB540">
        <v>3</v>
      </c>
      <c r="AJ540">
        <f t="shared" si="128"/>
        <v>11</v>
      </c>
      <c r="AK540">
        <f t="shared" si="129"/>
        <v>101</v>
      </c>
      <c r="AL540">
        <f t="shared" si="130"/>
        <v>4</v>
      </c>
      <c r="AM540">
        <f t="shared" si="120"/>
        <v>5</v>
      </c>
      <c r="AN540">
        <f t="shared" si="131"/>
        <v>4</v>
      </c>
      <c r="AO540">
        <f t="shared" si="132"/>
        <v>5</v>
      </c>
      <c r="AP540">
        <f t="shared" si="133"/>
        <v>0</v>
      </c>
      <c r="AQ540">
        <f t="shared" si="121"/>
        <v>0</v>
      </c>
      <c r="AR540">
        <f t="shared" si="134"/>
        <v>0</v>
      </c>
    </row>
    <row r="541" spans="1:44" x14ac:dyDescent="0.25">
      <c r="A541" t="s">
        <v>589</v>
      </c>
      <c r="D541" t="s">
        <v>7</v>
      </c>
      <c r="H541" t="s">
        <v>3</v>
      </c>
      <c r="I541" s="1"/>
      <c r="J541" s="1"/>
      <c r="K541" s="1" t="s">
        <v>7</v>
      </c>
      <c r="L541" s="1"/>
      <c r="M541" s="1" t="b">
        <v>0</v>
      </c>
      <c r="N541" s="1"/>
      <c r="O541">
        <v>0</v>
      </c>
      <c r="P541">
        <v>1</v>
      </c>
      <c r="Q541">
        <v>3</v>
      </c>
      <c r="R541" s="1">
        <f t="shared" si="122"/>
        <v>0</v>
      </c>
      <c r="S541" s="1">
        <f t="shared" si="123"/>
        <v>1</v>
      </c>
      <c r="T541" s="1">
        <f t="shared" si="124"/>
        <v>0</v>
      </c>
      <c r="U541" s="1">
        <f t="shared" si="125"/>
        <v>1</v>
      </c>
      <c r="V541" s="1">
        <f t="shared" si="126"/>
        <v>2</v>
      </c>
      <c r="W541" s="1" t="str">
        <f t="shared" si="127"/>
        <v>SB3</v>
      </c>
      <c r="X541" t="s">
        <v>149</v>
      </c>
      <c r="Y541" t="s">
        <v>149</v>
      </c>
      <c r="AA541" t="s">
        <v>304</v>
      </c>
      <c r="AB541">
        <v>3</v>
      </c>
      <c r="AJ541">
        <f t="shared" si="128"/>
        <v>10</v>
      </c>
      <c r="AK541">
        <f t="shared" si="129"/>
        <v>100</v>
      </c>
      <c r="AL541">
        <f t="shared" si="130"/>
        <v>2</v>
      </c>
      <c r="AM541">
        <f t="shared" si="120"/>
        <v>3</v>
      </c>
      <c r="AN541">
        <f t="shared" si="131"/>
        <v>2</v>
      </c>
      <c r="AO541">
        <f t="shared" si="132"/>
        <v>3</v>
      </c>
      <c r="AP541">
        <f t="shared" si="133"/>
        <v>0</v>
      </c>
      <c r="AQ541">
        <f t="shared" si="121"/>
        <v>0</v>
      </c>
      <c r="AR541">
        <f t="shared" si="134"/>
        <v>0</v>
      </c>
    </row>
    <row r="542" spans="1:44" x14ac:dyDescent="0.25">
      <c r="A542" t="s">
        <v>590</v>
      </c>
      <c r="C542" t="s">
        <v>5</v>
      </c>
      <c r="D542" t="s">
        <v>7</v>
      </c>
      <c r="F542" t="s">
        <v>2</v>
      </c>
      <c r="H542" t="s">
        <v>3</v>
      </c>
      <c r="I542" s="1"/>
      <c r="J542" s="1" t="s">
        <v>5</v>
      </c>
      <c r="K542" s="1" t="s">
        <v>7</v>
      </c>
      <c r="L542" s="1"/>
      <c r="M542" s="1" t="b">
        <v>0</v>
      </c>
      <c r="N542" s="1"/>
      <c r="O542">
        <v>0</v>
      </c>
      <c r="P542">
        <v>1</v>
      </c>
      <c r="Q542">
        <v>5</v>
      </c>
      <c r="R542" s="1">
        <f t="shared" si="122"/>
        <v>0</v>
      </c>
      <c r="S542" s="1">
        <f t="shared" si="123"/>
        <v>1</v>
      </c>
      <c r="T542" s="1">
        <f t="shared" si="124"/>
        <v>0</v>
      </c>
      <c r="U542" s="1">
        <f t="shared" si="125"/>
        <v>1</v>
      </c>
      <c r="V542" s="1">
        <f t="shared" si="126"/>
        <v>4</v>
      </c>
      <c r="W542" s="1" t="str">
        <f t="shared" si="127"/>
        <v>SB3</v>
      </c>
      <c r="X542" t="s">
        <v>149</v>
      </c>
      <c r="Y542" t="s">
        <v>149</v>
      </c>
      <c r="AA542" t="s">
        <v>304</v>
      </c>
      <c r="AB542">
        <v>3</v>
      </c>
      <c r="AJ542">
        <f t="shared" si="128"/>
        <v>11</v>
      </c>
      <c r="AK542">
        <f t="shared" si="129"/>
        <v>101</v>
      </c>
      <c r="AL542">
        <f t="shared" si="130"/>
        <v>4</v>
      </c>
      <c r="AM542">
        <f t="shared" si="120"/>
        <v>5</v>
      </c>
      <c r="AN542">
        <f t="shared" si="131"/>
        <v>4</v>
      </c>
      <c r="AO542">
        <f t="shared" si="132"/>
        <v>5</v>
      </c>
      <c r="AP542">
        <f t="shared" si="133"/>
        <v>0</v>
      </c>
      <c r="AQ542">
        <f t="shared" si="121"/>
        <v>0</v>
      </c>
      <c r="AR542">
        <f t="shared" si="134"/>
        <v>0</v>
      </c>
    </row>
    <row r="543" spans="1:44" x14ac:dyDescent="0.25">
      <c r="A543" t="s">
        <v>591</v>
      </c>
      <c r="D543" t="s">
        <v>7</v>
      </c>
      <c r="H543" t="s">
        <v>3</v>
      </c>
      <c r="I543" s="1"/>
      <c r="J543" s="1"/>
      <c r="K543" s="1" t="s">
        <v>7</v>
      </c>
      <c r="L543" s="1"/>
      <c r="M543" s="1" t="b">
        <v>0</v>
      </c>
      <c r="N543" s="1"/>
      <c r="O543">
        <v>0</v>
      </c>
      <c r="P543">
        <v>2</v>
      </c>
      <c r="Q543">
        <v>3</v>
      </c>
      <c r="R543" s="1">
        <f t="shared" si="122"/>
        <v>0</v>
      </c>
      <c r="S543" s="1">
        <f t="shared" si="123"/>
        <v>2</v>
      </c>
      <c r="T543" s="1">
        <f t="shared" si="124"/>
        <v>0</v>
      </c>
      <c r="U543" s="1">
        <f t="shared" si="125"/>
        <v>2</v>
      </c>
      <c r="V543" s="1">
        <f t="shared" si="126"/>
        <v>2</v>
      </c>
      <c r="W543" s="1" t="str">
        <f t="shared" si="127"/>
        <v>SB3</v>
      </c>
      <c r="X543" t="s">
        <v>149</v>
      </c>
      <c r="Y543" t="s">
        <v>149</v>
      </c>
      <c r="AA543" t="s">
        <v>304</v>
      </c>
      <c r="AB543">
        <v>3</v>
      </c>
      <c r="AJ543">
        <f t="shared" si="128"/>
        <v>10</v>
      </c>
      <c r="AK543">
        <f t="shared" si="129"/>
        <v>100</v>
      </c>
      <c r="AL543">
        <f t="shared" si="130"/>
        <v>2</v>
      </c>
      <c r="AM543">
        <f t="shared" si="120"/>
        <v>3</v>
      </c>
      <c r="AN543">
        <f t="shared" si="131"/>
        <v>2</v>
      </c>
      <c r="AO543">
        <f t="shared" si="132"/>
        <v>3</v>
      </c>
      <c r="AP543">
        <f t="shared" si="133"/>
        <v>0</v>
      </c>
      <c r="AQ543">
        <f t="shared" si="121"/>
        <v>0</v>
      </c>
      <c r="AR543">
        <f t="shared" si="134"/>
        <v>0</v>
      </c>
    </row>
    <row r="544" spans="1:44" x14ac:dyDescent="0.25">
      <c r="A544" t="s">
        <v>592</v>
      </c>
      <c r="C544" t="s">
        <v>6</v>
      </c>
      <c r="D544" t="s">
        <v>7</v>
      </c>
      <c r="G544" t="s">
        <v>2</v>
      </c>
      <c r="H544" t="s">
        <v>3</v>
      </c>
      <c r="I544" s="1"/>
      <c r="J544" s="1" t="s">
        <v>6</v>
      </c>
      <c r="K544" s="1" t="s">
        <v>7</v>
      </c>
      <c r="L544" s="1"/>
      <c r="M544" s="1" t="b">
        <v>0</v>
      </c>
      <c r="N544" s="1"/>
      <c r="O544">
        <v>0</v>
      </c>
      <c r="P544">
        <v>2</v>
      </c>
      <c r="Q544">
        <v>6</v>
      </c>
      <c r="R544" s="1">
        <f t="shared" si="122"/>
        <v>0</v>
      </c>
      <c r="S544" s="1">
        <f t="shared" si="123"/>
        <v>2</v>
      </c>
      <c r="T544" s="1">
        <f t="shared" si="124"/>
        <v>0</v>
      </c>
      <c r="U544" s="1">
        <f t="shared" si="125"/>
        <v>2</v>
      </c>
      <c r="V544" s="1">
        <f t="shared" si="126"/>
        <v>4</v>
      </c>
      <c r="W544" s="1" t="str">
        <f t="shared" si="127"/>
        <v>SB3</v>
      </c>
      <c r="X544" t="s">
        <v>149</v>
      </c>
      <c r="Y544" t="s">
        <v>149</v>
      </c>
      <c r="AA544" t="s">
        <v>304</v>
      </c>
      <c r="AB544">
        <v>3</v>
      </c>
      <c r="AJ544">
        <f t="shared" si="128"/>
        <v>11</v>
      </c>
      <c r="AK544">
        <f t="shared" si="129"/>
        <v>110</v>
      </c>
      <c r="AL544">
        <f t="shared" si="130"/>
        <v>4</v>
      </c>
      <c r="AM544">
        <f t="shared" si="120"/>
        <v>6</v>
      </c>
      <c r="AN544">
        <f t="shared" si="131"/>
        <v>4</v>
      </c>
      <c r="AO544">
        <f t="shared" si="132"/>
        <v>6</v>
      </c>
      <c r="AP544">
        <f t="shared" si="133"/>
        <v>0</v>
      </c>
      <c r="AQ544">
        <f t="shared" si="121"/>
        <v>0</v>
      </c>
      <c r="AR544">
        <f t="shared" si="134"/>
        <v>0</v>
      </c>
    </row>
    <row r="545" spans="1:44" x14ac:dyDescent="0.25">
      <c r="A545" t="s">
        <v>593</v>
      </c>
      <c r="C545" t="s">
        <v>6</v>
      </c>
      <c r="D545" t="s">
        <v>7</v>
      </c>
      <c r="G545" t="s">
        <v>2</v>
      </c>
      <c r="H545" t="s">
        <v>3</v>
      </c>
      <c r="I545" s="1"/>
      <c r="J545" s="1" t="s">
        <v>6</v>
      </c>
      <c r="K545" s="1" t="s">
        <v>7</v>
      </c>
      <c r="L545" s="1"/>
      <c r="M545" s="1" t="b">
        <v>0</v>
      </c>
      <c r="N545" s="1"/>
      <c r="O545">
        <v>0</v>
      </c>
      <c r="P545">
        <v>0</v>
      </c>
      <c r="Q545">
        <v>6</v>
      </c>
      <c r="R545" s="1">
        <f t="shared" si="122"/>
        <v>0</v>
      </c>
      <c r="S545" s="1">
        <f t="shared" si="123"/>
        <v>0</v>
      </c>
      <c r="T545" s="1">
        <f t="shared" si="124"/>
        <v>0</v>
      </c>
      <c r="U545" s="1">
        <f t="shared" si="125"/>
        <v>0</v>
      </c>
      <c r="V545" s="1">
        <f t="shared" si="126"/>
        <v>4</v>
      </c>
      <c r="W545" s="1" t="str">
        <f t="shared" si="127"/>
        <v>SB32</v>
      </c>
      <c r="X545" t="s">
        <v>149</v>
      </c>
      <c r="Y545" t="s">
        <v>149</v>
      </c>
      <c r="AA545" t="s">
        <v>304</v>
      </c>
      <c r="AB545">
        <v>3</v>
      </c>
      <c r="AJ545">
        <f t="shared" si="128"/>
        <v>11</v>
      </c>
      <c r="AK545">
        <f t="shared" si="129"/>
        <v>110</v>
      </c>
      <c r="AL545">
        <f t="shared" si="130"/>
        <v>4</v>
      </c>
      <c r="AM545">
        <f t="shared" si="120"/>
        <v>6</v>
      </c>
      <c r="AN545">
        <f t="shared" si="131"/>
        <v>4</v>
      </c>
      <c r="AO545">
        <f t="shared" si="132"/>
        <v>6</v>
      </c>
      <c r="AP545">
        <f t="shared" si="133"/>
        <v>0</v>
      </c>
      <c r="AQ545">
        <f t="shared" si="121"/>
        <v>0</v>
      </c>
      <c r="AR545">
        <f t="shared" si="134"/>
        <v>0</v>
      </c>
    </row>
    <row r="546" spans="1:44" x14ac:dyDescent="0.25">
      <c r="A546" t="s">
        <v>594</v>
      </c>
      <c r="C546" t="s">
        <v>6</v>
      </c>
      <c r="D546" t="s">
        <v>7</v>
      </c>
      <c r="G546" t="s">
        <v>2</v>
      </c>
      <c r="H546" t="s">
        <v>3</v>
      </c>
      <c r="I546" s="1"/>
      <c r="J546" s="1" t="s">
        <v>6</v>
      </c>
      <c r="K546" s="1" t="s">
        <v>7</v>
      </c>
      <c r="L546" s="1"/>
      <c r="M546" s="1" t="b">
        <v>0</v>
      </c>
      <c r="N546" s="1"/>
      <c r="O546">
        <v>0</v>
      </c>
      <c r="P546">
        <v>1</v>
      </c>
      <c r="Q546">
        <v>6</v>
      </c>
      <c r="R546" s="1">
        <f t="shared" si="122"/>
        <v>0</v>
      </c>
      <c r="S546" s="1">
        <f t="shared" si="123"/>
        <v>1</v>
      </c>
      <c r="T546" s="1">
        <f t="shared" si="124"/>
        <v>0</v>
      </c>
      <c r="U546" s="1">
        <f t="shared" si="125"/>
        <v>1</v>
      </c>
      <c r="V546" s="1">
        <f t="shared" si="126"/>
        <v>4</v>
      </c>
      <c r="W546" s="1" t="str">
        <f t="shared" si="127"/>
        <v>SB32</v>
      </c>
      <c r="X546" t="s">
        <v>149</v>
      </c>
      <c r="Y546" t="s">
        <v>149</v>
      </c>
      <c r="AA546" t="s">
        <v>304</v>
      </c>
      <c r="AB546">
        <v>3</v>
      </c>
      <c r="AJ546">
        <f t="shared" si="128"/>
        <v>11</v>
      </c>
      <c r="AK546">
        <f t="shared" si="129"/>
        <v>110</v>
      </c>
      <c r="AL546">
        <f t="shared" si="130"/>
        <v>4</v>
      </c>
      <c r="AM546">
        <f t="shared" si="120"/>
        <v>6</v>
      </c>
      <c r="AN546">
        <f t="shared" si="131"/>
        <v>4</v>
      </c>
      <c r="AO546">
        <f t="shared" si="132"/>
        <v>6</v>
      </c>
      <c r="AP546">
        <f t="shared" si="133"/>
        <v>0</v>
      </c>
      <c r="AQ546">
        <f t="shared" si="121"/>
        <v>0</v>
      </c>
      <c r="AR546">
        <f t="shared" si="134"/>
        <v>0</v>
      </c>
    </row>
    <row r="547" spans="1:44" x14ac:dyDescent="0.25">
      <c r="A547" t="s">
        <v>595</v>
      </c>
      <c r="C547" t="s">
        <v>6</v>
      </c>
      <c r="D547" t="s">
        <v>7</v>
      </c>
      <c r="G547" t="s">
        <v>2</v>
      </c>
      <c r="H547" t="s">
        <v>3</v>
      </c>
      <c r="I547" s="1"/>
      <c r="J547" s="1" t="s">
        <v>6</v>
      </c>
      <c r="K547" s="1" t="s">
        <v>7</v>
      </c>
      <c r="L547" s="1"/>
      <c r="M547" s="1" t="b">
        <v>0</v>
      </c>
      <c r="N547" s="1"/>
      <c r="O547">
        <v>0</v>
      </c>
      <c r="P547">
        <v>2</v>
      </c>
      <c r="Q547">
        <v>6</v>
      </c>
      <c r="R547" s="1">
        <f t="shared" si="122"/>
        <v>0</v>
      </c>
      <c r="S547" s="1">
        <f t="shared" si="123"/>
        <v>2</v>
      </c>
      <c r="T547" s="1">
        <f t="shared" si="124"/>
        <v>0</v>
      </c>
      <c r="U547" s="1">
        <f t="shared" si="125"/>
        <v>2</v>
      </c>
      <c r="V547" s="1">
        <f t="shared" si="126"/>
        <v>4</v>
      </c>
      <c r="W547" s="1" t="str">
        <f t="shared" si="127"/>
        <v>SB32</v>
      </c>
      <c r="X547" t="s">
        <v>149</v>
      </c>
      <c r="Y547" t="s">
        <v>149</v>
      </c>
      <c r="AA547" t="s">
        <v>304</v>
      </c>
      <c r="AB547">
        <v>3</v>
      </c>
      <c r="AJ547">
        <f t="shared" si="128"/>
        <v>11</v>
      </c>
      <c r="AK547">
        <f t="shared" si="129"/>
        <v>110</v>
      </c>
      <c r="AL547">
        <f t="shared" si="130"/>
        <v>4</v>
      </c>
      <c r="AM547">
        <f t="shared" si="120"/>
        <v>6</v>
      </c>
      <c r="AN547">
        <f t="shared" si="131"/>
        <v>4</v>
      </c>
      <c r="AO547">
        <f t="shared" si="132"/>
        <v>6</v>
      </c>
      <c r="AP547">
        <f t="shared" si="133"/>
        <v>0</v>
      </c>
      <c r="AQ547">
        <f t="shared" si="121"/>
        <v>0</v>
      </c>
      <c r="AR547">
        <f t="shared" si="134"/>
        <v>0</v>
      </c>
    </row>
    <row r="548" spans="1:44" x14ac:dyDescent="0.25">
      <c r="A548" t="s">
        <v>596</v>
      </c>
      <c r="E548" t="s">
        <v>43</v>
      </c>
      <c r="I548" s="1"/>
      <c r="J548" s="1"/>
      <c r="K548" s="1"/>
      <c r="L548" s="1" t="s">
        <v>43</v>
      </c>
      <c r="M548" s="1" t="b">
        <v>0</v>
      </c>
      <c r="N548" s="1"/>
      <c r="O548">
        <v>1</v>
      </c>
      <c r="P548">
        <v>0</v>
      </c>
      <c r="Q548">
        <v>0</v>
      </c>
      <c r="R548" s="1">
        <f t="shared" si="122"/>
        <v>1</v>
      </c>
      <c r="S548" s="1">
        <f t="shared" si="123"/>
        <v>0</v>
      </c>
      <c r="T548" s="1">
        <f t="shared" si="124"/>
        <v>0</v>
      </c>
      <c r="U548" s="1">
        <f t="shared" si="125"/>
        <v>0</v>
      </c>
      <c r="V548" s="1">
        <f t="shared" si="126"/>
        <v>3</v>
      </c>
      <c r="W548" s="1" t="str">
        <f t="shared" si="127"/>
        <v>SB4</v>
      </c>
      <c r="X548" t="s">
        <v>149</v>
      </c>
      <c r="Y548" t="s">
        <v>149</v>
      </c>
      <c r="Z548" t="s">
        <v>304</v>
      </c>
      <c r="AA548" t="s">
        <v>323</v>
      </c>
      <c r="AB548">
        <v>4</v>
      </c>
      <c r="AJ548">
        <f t="shared" si="128"/>
        <v>100</v>
      </c>
      <c r="AK548">
        <f t="shared" si="129"/>
        <v>0</v>
      </c>
      <c r="AL548">
        <f t="shared" si="130"/>
        <v>3</v>
      </c>
      <c r="AM548">
        <f t="shared" si="120"/>
        <v>0</v>
      </c>
      <c r="AN548">
        <f t="shared" si="131"/>
        <v>3</v>
      </c>
      <c r="AO548">
        <f t="shared" si="132"/>
        <v>0</v>
      </c>
      <c r="AP548">
        <f t="shared" si="133"/>
        <v>0</v>
      </c>
      <c r="AQ548">
        <f t="shared" si="121"/>
        <v>0</v>
      </c>
      <c r="AR548">
        <f t="shared" si="134"/>
        <v>0</v>
      </c>
    </row>
    <row r="549" spans="1:44" x14ac:dyDescent="0.25">
      <c r="A549" t="s">
        <v>597</v>
      </c>
      <c r="C549" t="s">
        <v>5</v>
      </c>
      <c r="E549" t="s">
        <v>43</v>
      </c>
      <c r="F549" t="s">
        <v>2</v>
      </c>
      <c r="I549" s="1"/>
      <c r="J549" s="1" t="s">
        <v>5</v>
      </c>
      <c r="K549" s="1"/>
      <c r="L549" s="1" t="s">
        <v>43</v>
      </c>
      <c r="M549" s="1" t="b">
        <v>0</v>
      </c>
      <c r="N549" s="1"/>
      <c r="O549">
        <v>1</v>
      </c>
      <c r="P549">
        <v>0</v>
      </c>
      <c r="Q549">
        <v>1</v>
      </c>
      <c r="R549" s="1">
        <f t="shared" si="122"/>
        <v>1</v>
      </c>
      <c r="S549" s="1">
        <f t="shared" si="123"/>
        <v>0</v>
      </c>
      <c r="T549" s="1">
        <f t="shared" si="124"/>
        <v>0</v>
      </c>
      <c r="U549" s="1">
        <f t="shared" si="125"/>
        <v>0</v>
      </c>
      <c r="V549" s="1">
        <f t="shared" si="126"/>
        <v>5</v>
      </c>
      <c r="W549" s="1" t="str">
        <f t="shared" si="127"/>
        <v>SB4</v>
      </c>
      <c r="X549" t="s">
        <v>149</v>
      </c>
      <c r="Y549" t="s">
        <v>149</v>
      </c>
      <c r="Z549" t="s">
        <v>304</v>
      </c>
      <c r="AA549" t="s">
        <v>323</v>
      </c>
      <c r="AB549">
        <v>4</v>
      </c>
      <c r="AJ549">
        <f t="shared" si="128"/>
        <v>101</v>
      </c>
      <c r="AK549">
        <f t="shared" si="129"/>
        <v>1</v>
      </c>
      <c r="AL549">
        <f t="shared" si="130"/>
        <v>5</v>
      </c>
      <c r="AM549">
        <f t="shared" si="120"/>
        <v>1</v>
      </c>
      <c r="AN549">
        <f t="shared" si="131"/>
        <v>5</v>
      </c>
      <c r="AO549">
        <f t="shared" si="132"/>
        <v>1</v>
      </c>
      <c r="AP549">
        <f t="shared" si="133"/>
        <v>0</v>
      </c>
      <c r="AQ549">
        <f t="shared" si="121"/>
        <v>0</v>
      </c>
      <c r="AR549">
        <f t="shared" si="134"/>
        <v>0</v>
      </c>
    </row>
    <row r="550" spans="1:44" x14ac:dyDescent="0.25">
      <c r="A550" t="s">
        <v>598</v>
      </c>
      <c r="D550" t="s">
        <v>6</v>
      </c>
      <c r="E550" t="s">
        <v>43</v>
      </c>
      <c r="G550" t="s">
        <v>3</v>
      </c>
      <c r="I550" s="1"/>
      <c r="J550" s="1"/>
      <c r="K550" s="1" t="s">
        <v>6</v>
      </c>
      <c r="L550" s="1" t="s">
        <v>43</v>
      </c>
      <c r="M550" s="1" t="b">
        <v>0</v>
      </c>
      <c r="N550" s="1"/>
      <c r="O550">
        <v>1</v>
      </c>
      <c r="P550">
        <v>0</v>
      </c>
      <c r="Q550">
        <v>2</v>
      </c>
      <c r="R550" s="1">
        <f t="shared" si="122"/>
        <v>1</v>
      </c>
      <c r="S550" s="1">
        <f t="shared" si="123"/>
        <v>0</v>
      </c>
      <c r="T550" s="1">
        <f t="shared" si="124"/>
        <v>0</v>
      </c>
      <c r="U550" s="1">
        <f t="shared" si="125"/>
        <v>0</v>
      </c>
      <c r="V550" s="1">
        <f t="shared" si="126"/>
        <v>6</v>
      </c>
      <c r="W550" s="1" t="str">
        <f t="shared" si="127"/>
        <v>SB4</v>
      </c>
      <c r="X550" t="s">
        <v>149</v>
      </c>
      <c r="Y550" t="s">
        <v>149</v>
      </c>
      <c r="Z550" t="s">
        <v>304</v>
      </c>
      <c r="AA550" t="s">
        <v>323</v>
      </c>
      <c r="AB550">
        <v>4</v>
      </c>
      <c r="AJ550">
        <f t="shared" si="128"/>
        <v>110</v>
      </c>
      <c r="AK550">
        <f t="shared" si="129"/>
        <v>10</v>
      </c>
      <c r="AL550">
        <f t="shared" si="130"/>
        <v>6</v>
      </c>
      <c r="AM550">
        <f t="shared" si="120"/>
        <v>2</v>
      </c>
      <c r="AN550">
        <f t="shared" si="131"/>
        <v>6</v>
      </c>
      <c r="AO550">
        <f t="shared" si="132"/>
        <v>2</v>
      </c>
      <c r="AP550">
        <f t="shared" si="133"/>
        <v>0</v>
      </c>
      <c r="AQ550">
        <f t="shared" si="121"/>
        <v>0</v>
      </c>
      <c r="AR550">
        <f t="shared" si="134"/>
        <v>0</v>
      </c>
    </row>
    <row r="551" spans="1:44" x14ac:dyDescent="0.25">
      <c r="A551" t="s">
        <v>599</v>
      </c>
      <c r="C551" t="s">
        <v>5</v>
      </c>
      <c r="D551" t="s">
        <v>6</v>
      </c>
      <c r="E551" t="s">
        <v>43</v>
      </c>
      <c r="F551" t="s">
        <v>2</v>
      </c>
      <c r="G551" t="s">
        <v>3</v>
      </c>
      <c r="I551" s="1"/>
      <c r="J551" s="1" t="s">
        <v>5</v>
      </c>
      <c r="K551" s="1" t="s">
        <v>6</v>
      </c>
      <c r="L551" s="1" t="s">
        <v>43</v>
      </c>
      <c r="M551" s="1" t="b">
        <v>0</v>
      </c>
      <c r="N551" s="1"/>
      <c r="O551">
        <v>1</v>
      </c>
      <c r="P551">
        <v>0</v>
      </c>
      <c r="Q551">
        <v>4</v>
      </c>
      <c r="R551" s="1">
        <f t="shared" si="122"/>
        <v>1</v>
      </c>
      <c r="S551" s="1">
        <f t="shared" si="123"/>
        <v>0</v>
      </c>
      <c r="T551" s="1">
        <f t="shared" si="124"/>
        <v>0</v>
      </c>
      <c r="U551" s="1">
        <f t="shared" si="125"/>
        <v>0</v>
      </c>
      <c r="V551" s="1">
        <f t="shared" si="126"/>
        <v>7</v>
      </c>
      <c r="W551" s="1" t="str">
        <f t="shared" si="127"/>
        <v>SB4</v>
      </c>
      <c r="X551" t="s">
        <v>149</v>
      </c>
      <c r="Y551" t="s">
        <v>149</v>
      </c>
      <c r="Z551" t="s">
        <v>304</v>
      </c>
      <c r="AA551" t="s">
        <v>323</v>
      </c>
      <c r="AB551">
        <v>4</v>
      </c>
      <c r="AJ551">
        <f t="shared" si="128"/>
        <v>111</v>
      </c>
      <c r="AK551">
        <f t="shared" si="129"/>
        <v>11</v>
      </c>
      <c r="AL551">
        <f t="shared" si="130"/>
        <v>7</v>
      </c>
      <c r="AM551">
        <f t="shared" si="120"/>
        <v>4</v>
      </c>
      <c r="AN551">
        <f t="shared" si="131"/>
        <v>7</v>
      </c>
      <c r="AO551">
        <f t="shared" si="132"/>
        <v>4</v>
      </c>
      <c r="AP551">
        <f t="shared" si="133"/>
        <v>0</v>
      </c>
      <c r="AQ551">
        <f t="shared" si="121"/>
        <v>0</v>
      </c>
      <c r="AR551">
        <f t="shared" si="134"/>
        <v>0</v>
      </c>
    </row>
    <row r="552" spans="1:44" x14ac:dyDescent="0.25">
      <c r="A552" t="s">
        <v>600</v>
      </c>
      <c r="E552" t="s">
        <v>43</v>
      </c>
      <c r="I552" s="1"/>
      <c r="J552" s="1"/>
      <c r="K552" s="1"/>
      <c r="L552" s="1" t="s">
        <v>43</v>
      </c>
      <c r="M552" s="1" t="b">
        <v>0</v>
      </c>
      <c r="N552" s="1"/>
      <c r="O552">
        <v>1</v>
      </c>
      <c r="P552">
        <v>1</v>
      </c>
      <c r="Q552">
        <v>0</v>
      </c>
      <c r="R552" s="1">
        <f t="shared" si="122"/>
        <v>1</v>
      </c>
      <c r="S552" s="1">
        <f t="shared" si="123"/>
        <v>1</v>
      </c>
      <c r="T552" s="1">
        <f t="shared" si="124"/>
        <v>0</v>
      </c>
      <c r="U552" s="1">
        <f t="shared" si="125"/>
        <v>1</v>
      </c>
      <c r="V552" s="1">
        <f t="shared" si="126"/>
        <v>3</v>
      </c>
      <c r="W552" s="1" t="str">
        <f t="shared" si="127"/>
        <v>SB4</v>
      </c>
      <c r="X552" t="s">
        <v>149</v>
      </c>
      <c r="Y552" t="s">
        <v>149</v>
      </c>
      <c r="Z552" t="s">
        <v>304</v>
      </c>
      <c r="AA552" t="s">
        <v>323</v>
      </c>
      <c r="AB552">
        <v>4</v>
      </c>
      <c r="AJ552">
        <f t="shared" si="128"/>
        <v>100</v>
      </c>
      <c r="AK552">
        <f t="shared" si="129"/>
        <v>0</v>
      </c>
      <c r="AL552">
        <f t="shared" si="130"/>
        <v>3</v>
      </c>
      <c r="AM552">
        <f t="shared" si="120"/>
        <v>0</v>
      </c>
      <c r="AN552">
        <f t="shared" si="131"/>
        <v>3</v>
      </c>
      <c r="AO552">
        <f t="shared" si="132"/>
        <v>0</v>
      </c>
      <c r="AP552">
        <f t="shared" si="133"/>
        <v>0</v>
      </c>
      <c r="AQ552">
        <f t="shared" si="121"/>
        <v>0</v>
      </c>
      <c r="AR552">
        <f t="shared" si="134"/>
        <v>0</v>
      </c>
    </row>
    <row r="553" spans="1:44" x14ac:dyDescent="0.25">
      <c r="A553" t="s">
        <v>601</v>
      </c>
      <c r="C553" t="s">
        <v>5</v>
      </c>
      <c r="E553" t="s">
        <v>43</v>
      </c>
      <c r="F553" t="s">
        <v>2</v>
      </c>
      <c r="I553" s="1"/>
      <c r="J553" s="1" t="s">
        <v>5</v>
      </c>
      <c r="K553" s="1"/>
      <c r="L553" s="1" t="s">
        <v>43</v>
      </c>
      <c r="M553" s="1" t="b">
        <v>0</v>
      </c>
      <c r="N553" s="1"/>
      <c r="O553">
        <v>1</v>
      </c>
      <c r="P553">
        <v>1</v>
      </c>
      <c r="Q553">
        <v>1</v>
      </c>
      <c r="R553" s="1">
        <f t="shared" si="122"/>
        <v>1</v>
      </c>
      <c r="S553" s="1">
        <f t="shared" si="123"/>
        <v>1</v>
      </c>
      <c r="T553" s="1">
        <f t="shared" si="124"/>
        <v>0</v>
      </c>
      <c r="U553" s="1">
        <f t="shared" si="125"/>
        <v>1</v>
      </c>
      <c r="V553" s="1">
        <f t="shared" si="126"/>
        <v>5</v>
      </c>
      <c r="W553" s="1" t="str">
        <f t="shared" si="127"/>
        <v>SB4</v>
      </c>
      <c r="X553" t="s">
        <v>149</v>
      </c>
      <c r="Y553" t="s">
        <v>149</v>
      </c>
      <c r="Z553" t="s">
        <v>304</v>
      </c>
      <c r="AA553" t="s">
        <v>323</v>
      </c>
      <c r="AB553">
        <v>4</v>
      </c>
      <c r="AJ553">
        <f t="shared" si="128"/>
        <v>101</v>
      </c>
      <c r="AK553">
        <f t="shared" si="129"/>
        <v>1</v>
      </c>
      <c r="AL553">
        <f t="shared" si="130"/>
        <v>5</v>
      </c>
      <c r="AM553">
        <f t="shared" si="120"/>
        <v>1</v>
      </c>
      <c r="AN553">
        <f t="shared" si="131"/>
        <v>5</v>
      </c>
      <c r="AO553">
        <f t="shared" si="132"/>
        <v>1</v>
      </c>
      <c r="AP553">
        <f t="shared" si="133"/>
        <v>0</v>
      </c>
      <c r="AQ553">
        <f t="shared" si="121"/>
        <v>0</v>
      </c>
      <c r="AR553">
        <f t="shared" si="134"/>
        <v>0</v>
      </c>
    </row>
    <row r="554" spans="1:44" x14ac:dyDescent="0.25">
      <c r="A554" t="s">
        <v>602</v>
      </c>
      <c r="D554" t="s">
        <v>6</v>
      </c>
      <c r="E554" t="s">
        <v>43</v>
      </c>
      <c r="G554" t="s">
        <v>3</v>
      </c>
      <c r="I554" s="1"/>
      <c r="J554" s="1"/>
      <c r="K554" s="1" t="s">
        <v>6</v>
      </c>
      <c r="L554" s="1" t="s">
        <v>43</v>
      </c>
      <c r="M554" s="1" t="b">
        <v>0</v>
      </c>
      <c r="N554" s="1"/>
      <c r="O554">
        <v>1</v>
      </c>
      <c r="P554">
        <v>1</v>
      </c>
      <c r="Q554">
        <v>2</v>
      </c>
      <c r="R554" s="1">
        <f t="shared" si="122"/>
        <v>1</v>
      </c>
      <c r="S554" s="1">
        <f t="shared" si="123"/>
        <v>1</v>
      </c>
      <c r="T554" s="1">
        <f t="shared" si="124"/>
        <v>0</v>
      </c>
      <c r="U554" s="1">
        <f t="shared" si="125"/>
        <v>1</v>
      </c>
      <c r="V554" s="1">
        <f t="shared" si="126"/>
        <v>6</v>
      </c>
      <c r="W554" s="1" t="str">
        <f t="shared" si="127"/>
        <v>SB4</v>
      </c>
      <c r="X554" t="s">
        <v>149</v>
      </c>
      <c r="Y554" t="s">
        <v>149</v>
      </c>
      <c r="Z554" t="s">
        <v>304</v>
      </c>
      <c r="AA554" t="s">
        <v>323</v>
      </c>
      <c r="AB554">
        <v>4</v>
      </c>
      <c r="AJ554">
        <f t="shared" si="128"/>
        <v>110</v>
      </c>
      <c r="AK554">
        <f t="shared" si="129"/>
        <v>10</v>
      </c>
      <c r="AL554">
        <f t="shared" si="130"/>
        <v>6</v>
      </c>
      <c r="AM554">
        <f t="shared" si="120"/>
        <v>2</v>
      </c>
      <c r="AN554">
        <f t="shared" si="131"/>
        <v>6</v>
      </c>
      <c r="AO554">
        <f t="shared" si="132"/>
        <v>2</v>
      </c>
      <c r="AP554">
        <f t="shared" si="133"/>
        <v>0</v>
      </c>
      <c r="AQ554">
        <f t="shared" si="121"/>
        <v>0</v>
      </c>
      <c r="AR554">
        <f t="shared" si="134"/>
        <v>0</v>
      </c>
    </row>
    <row r="555" spans="1:44" x14ac:dyDescent="0.25">
      <c r="A555" t="s">
        <v>603</v>
      </c>
      <c r="C555" t="s">
        <v>5</v>
      </c>
      <c r="D555" t="s">
        <v>6</v>
      </c>
      <c r="E555" t="s">
        <v>43</v>
      </c>
      <c r="F555" t="s">
        <v>2</v>
      </c>
      <c r="G555" t="s">
        <v>3</v>
      </c>
      <c r="I555" s="1"/>
      <c r="J555" s="1" t="s">
        <v>5</v>
      </c>
      <c r="K555" s="1" t="s">
        <v>6</v>
      </c>
      <c r="L555" s="1" t="s">
        <v>43</v>
      </c>
      <c r="M555" s="1" t="b">
        <v>0</v>
      </c>
      <c r="N555" s="1"/>
      <c r="O555">
        <v>1</v>
      </c>
      <c r="P555">
        <v>1</v>
      </c>
      <c r="Q555">
        <v>4</v>
      </c>
      <c r="R555" s="1">
        <f t="shared" si="122"/>
        <v>1</v>
      </c>
      <c r="S555" s="1">
        <f t="shared" si="123"/>
        <v>1</v>
      </c>
      <c r="T555" s="1">
        <f t="shared" si="124"/>
        <v>0</v>
      </c>
      <c r="U555" s="1">
        <f t="shared" si="125"/>
        <v>1</v>
      </c>
      <c r="V555" s="1">
        <f t="shared" si="126"/>
        <v>7</v>
      </c>
      <c r="W555" s="1" t="str">
        <f t="shared" si="127"/>
        <v>SB4</v>
      </c>
      <c r="X555" t="s">
        <v>149</v>
      </c>
      <c r="Y555" t="s">
        <v>149</v>
      </c>
      <c r="Z555" t="s">
        <v>304</v>
      </c>
      <c r="AA555" t="s">
        <v>323</v>
      </c>
      <c r="AB555">
        <v>4</v>
      </c>
      <c r="AJ555">
        <f t="shared" si="128"/>
        <v>111</v>
      </c>
      <c r="AK555">
        <f t="shared" si="129"/>
        <v>11</v>
      </c>
      <c r="AL555">
        <f t="shared" si="130"/>
        <v>7</v>
      </c>
      <c r="AM555">
        <f t="shared" si="120"/>
        <v>4</v>
      </c>
      <c r="AN555">
        <f t="shared" si="131"/>
        <v>7</v>
      </c>
      <c r="AO555">
        <f t="shared" si="132"/>
        <v>4</v>
      </c>
      <c r="AP555">
        <f t="shared" si="133"/>
        <v>0</v>
      </c>
      <c r="AQ555">
        <f t="shared" si="121"/>
        <v>0</v>
      </c>
      <c r="AR555">
        <f t="shared" si="134"/>
        <v>0</v>
      </c>
    </row>
    <row r="556" spans="1:44" x14ac:dyDescent="0.25">
      <c r="A556" t="s">
        <v>604</v>
      </c>
      <c r="E556" t="s">
        <v>43</v>
      </c>
      <c r="I556" s="1"/>
      <c r="J556" s="1"/>
      <c r="K556" s="1"/>
      <c r="L556" s="1" t="s">
        <v>43</v>
      </c>
      <c r="M556" s="1" t="b">
        <v>0</v>
      </c>
      <c r="N556" s="1"/>
      <c r="O556">
        <v>1</v>
      </c>
      <c r="P556">
        <v>2</v>
      </c>
      <c r="Q556">
        <v>0</v>
      </c>
      <c r="R556" s="1">
        <f t="shared" si="122"/>
        <v>1</v>
      </c>
      <c r="S556" s="1">
        <f t="shared" si="123"/>
        <v>2</v>
      </c>
      <c r="T556" s="1">
        <f t="shared" si="124"/>
        <v>0</v>
      </c>
      <c r="U556" s="1">
        <f t="shared" si="125"/>
        <v>2</v>
      </c>
      <c r="V556" s="1">
        <f t="shared" si="126"/>
        <v>3</v>
      </c>
      <c r="W556" s="1" t="str">
        <f t="shared" si="127"/>
        <v>SB4</v>
      </c>
      <c r="X556" t="s">
        <v>149</v>
      </c>
      <c r="Y556" t="s">
        <v>149</v>
      </c>
      <c r="Z556" t="s">
        <v>304</v>
      </c>
      <c r="AA556" t="s">
        <v>323</v>
      </c>
      <c r="AB556">
        <v>4</v>
      </c>
      <c r="AJ556">
        <f t="shared" si="128"/>
        <v>100</v>
      </c>
      <c r="AK556">
        <f t="shared" si="129"/>
        <v>0</v>
      </c>
      <c r="AL556">
        <f t="shared" si="130"/>
        <v>3</v>
      </c>
      <c r="AM556">
        <f t="shared" si="120"/>
        <v>0</v>
      </c>
      <c r="AN556">
        <f t="shared" si="131"/>
        <v>3</v>
      </c>
      <c r="AO556">
        <f t="shared" si="132"/>
        <v>0</v>
      </c>
      <c r="AP556">
        <f t="shared" si="133"/>
        <v>0</v>
      </c>
      <c r="AQ556">
        <f t="shared" si="121"/>
        <v>0</v>
      </c>
      <c r="AR556">
        <f t="shared" si="134"/>
        <v>0</v>
      </c>
    </row>
    <row r="557" spans="1:44" x14ac:dyDescent="0.25">
      <c r="A557" t="s">
        <v>605</v>
      </c>
      <c r="C557" t="s">
        <v>6</v>
      </c>
      <c r="E557" t="s">
        <v>43</v>
      </c>
      <c r="G557" t="s">
        <v>2</v>
      </c>
      <c r="I557" s="1"/>
      <c r="J557" s="1" t="s">
        <v>6</v>
      </c>
      <c r="K557" s="1"/>
      <c r="L557" s="1" t="s">
        <v>43</v>
      </c>
      <c r="M557" s="1" t="b">
        <v>0</v>
      </c>
      <c r="N557" s="1"/>
      <c r="O557">
        <v>1</v>
      </c>
      <c r="P557">
        <v>2</v>
      </c>
      <c r="Q557">
        <v>2</v>
      </c>
      <c r="R557" s="1">
        <f t="shared" si="122"/>
        <v>1</v>
      </c>
      <c r="S557" s="1">
        <f t="shared" si="123"/>
        <v>2</v>
      </c>
      <c r="T557" s="1">
        <f t="shared" si="124"/>
        <v>0</v>
      </c>
      <c r="U557" s="1">
        <f t="shared" si="125"/>
        <v>2</v>
      </c>
      <c r="V557" s="1">
        <f t="shared" si="126"/>
        <v>5</v>
      </c>
      <c r="W557" s="1" t="str">
        <f t="shared" si="127"/>
        <v>SB4</v>
      </c>
      <c r="X557" t="s">
        <v>149</v>
      </c>
      <c r="Y557" t="s">
        <v>149</v>
      </c>
      <c r="Z557" t="s">
        <v>304</v>
      </c>
      <c r="AA557" t="s">
        <v>323</v>
      </c>
      <c r="AB557">
        <v>4</v>
      </c>
      <c r="AJ557">
        <f t="shared" si="128"/>
        <v>101</v>
      </c>
      <c r="AK557">
        <f t="shared" si="129"/>
        <v>10</v>
      </c>
      <c r="AL557">
        <f t="shared" si="130"/>
        <v>5</v>
      </c>
      <c r="AM557">
        <f t="shared" si="120"/>
        <v>2</v>
      </c>
      <c r="AN557">
        <f t="shared" si="131"/>
        <v>5</v>
      </c>
      <c r="AO557">
        <f t="shared" si="132"/>
        <v>2</v>
      </c>
      <c r="AP557">
        <f t="shared" si="133"/>
        <v>0</v>
      </c>
      <c r="AQ557">
        <f t="shared" si="121"/>
        <v>0</v>
      </c>
      <c r="AR557">
        <f t="shared" si="134"/>
        <v>0</v>
      </c>
    </row>
    <row r="558" spans="1:44" x14ac:dyDescent="0.25">
      <c r="A558" t="s">
        <v>606</v>
      </c>
      <c r="D558" t="s">
        <v>7</v>
      </c>
      <c r="E558" t="s">
        <v>43</v>
      </c>
      <c r="H558" t="s">
        <v>3</v>
      </c>
      <c r="I558" s="1"/>
      <c r="J558" s="1"/>
      <c r="K558" s="1" t="s">
        <v>7</v>
      </c>
      <c r="L558" s="1" t="s">
        <v>43</v>
      </c>
      <c r="M558" s="1" t="b">
        <v>0</v>
      </c>
      <c r="N558" s="1"/>
      <c r="O558">
        <v>1</v>
      </c>
      <c r="P558">
        <v>2</v>
      </c>
      <c r="Q558">
        <v>3</v>
      </c>
      <c r="R558" s="1">
        <f t="shared" si="122"/>
        <v>1</v>
      </c>
      <c r="S558" s="1">
        <f t="shared" si="123"/>
        <v>2</v>
      </c>
      <c r="T558" s="1">
        <f t="shared" si="124"/>
        <v>0</v>
      </c>
      <c r="U558" s="1">
        <f t="shared" si="125"/>
        <v>2</v>
      </c>
      <c r="V558" s="1">
        <f t="shared" si="126"/>
        <v>6</v>
      </c>
      <c r="W558" s="1" t="str">
        <f t="shared" si="127"/>
        <v>SB4</v>
      </c>
      <c r="X558" t="s">
        <v>149</v>
      </c>
      <c r="Y558" t="s">
        <v>149</v>
      </c>
      <c r="Z558" t="s">
        <v>304</v>
      </c>
      <c r="AA558" t="s">
        <v>323</v>
      </c>
      <c r="AB558">
        <v>4</v>
      </c>
      <c r="AJ558">
        <f t="shared" si="128"/>
        <v>110</v>
      </c>
      <c r="AK558">
        <f t="shared" si="129"/>
        <v>100</v>
      </c>
      <c r="AL558">
        <f t="shared" si="130"/>
        <v>6</v>
      </c>
      <c r="AM558">
        <f t="shared" si="120"/>
        <v>3</v>
      </c>
      <c r="AN558">
        <f t="shared" si="131"/>
        <v>6</v>
      </c>
      <c r="AO558">
        <f t="shared" si="132"/>
        <v>3</v>
      </c>
      <c r="AP558">
        <f t="shared" si="133"/>
        <v>0</v>
      </c>
      <c r="AQ558">
        <f t="shared" si="121"/>
        <v>0</v>
      </c>
      <c r="AR558">
        <f t="shared" si="134"/>
        <v>0</v>
      </c>
    </row>
    <row r="559" spans="1:44" x14ac:dyDescent="0.25">
      <c r="A559" t="s">
        <v>607</v>
      </c>
      <c r="C559" t="s">
        <v>6</v>
      </c>
      <c r="D559" t="s">
        <v>7</v>
      </c>
      <c r="E559" t="s">
        <v>43</v>
      </c>
      <c r="G559" t="s">
        <v>2</v>
      </c>
      <c r="H559" t="s">
        <v>3</v>
      </c>
      <c r="I559" s="1"/>
      <c r="J559" s="1" t="s">
        <v>6</v>
      </c>
      <c r="K559" s="1" t="s">
        <v>7</v>
      </c>
      <c r="L559" s="1" t="s">
        <v>43</v>
      </c>
      <c r="M559" s="1" t="b">
        <v>0</v>
      </c>
      <c r="N559" s="1"/>
      <c r="O559">
        <v>1</v>
      </c>
      <c r="P559">
        <v>2</v>
      </c>
      <c r="Q559">
        <v>6</v>
      </c>
      <c r="R559" s="1">
        <f t="shared" si="122"/>
        <v>1</v>
      </c>
      <c r="S559" s="1">
        <f t="shared" si="123"/>
        <v>2</v>
      </c>
      <c r="T559" s="1">
        <f t="shared" si="124"/>
        <v>0</v>
      </c>
      <c r="U559" s="1">
        <f t="shared" si="125"/>
        <v>2</v>
      </c>
      <c r="V559" s="1">
        <f t="shared" si="126"/>
        <v>7</v>
      </c>
      <c r="W559" s="1" t="str">
        <f t="shared" si="127"/>
        <v>SB4</v>
      </c>
      <c r="X559" t="s">
        <v>149</v>
      </c>
      <c r="Y559" t="s">
        <v>149</v>
      </c>
      <c r="Z559" t="s">
        <v>304</v>
      </c>
      <c r="AA559" t="s">
        <v>323</v>
      </c>
      <c r="AB559">
        <v>4</v>
      </c>
      <c r="AJ559">
        <f t="shared" si="128"/>
        <v>111</v>
      </c>
      <c r="AK559">
        <f t="shared" si="129"/>
        <v>110</v>
      </c>
      <c r="AL559">
        <f t="shared" si="130"/>
        <v>7</v>
      </c>
      <c r="AM559">
        <f t="shared" si="120"/>
        <v>6</v>
      </c>
      <c r="AN559">
        <f t="shared" si="131"/>
        <v>7</v>
      </c>
      <c r="AO559">
        <f t="shared" si="132"/>
        <v>6</v>
      </c>
      <c r="AP559">
        <f t="shared" si="133"/>
        <v>0</v>
      </c>
      <c r="AQ559">
        <f t="shared" si="121"/>
        <v>0</v>
      </c>
      <c r="AR559">
        <f t="shared" si="134"/>
        <v>0</v>
      </c>
    </row>
    <row r="560" spans="1:44" x14ac:dyDescent="0.25">
      <c r="A560" t="s">
        <v>608</v>
      </c>
      <c r="C560" t="s">
        <v>6</v>
      </c>
      <c r="E560" t="s">
        <v>43</v>
      </c>
      <c r="G560" t="s">
        <v>2</v>
      </c>
      <c r="I560" s="1"/>
      <c r="J560" s="1" t="s">
        <v>6</v>
      </c>
      <c r="K560" s="1"/>
      <c r="L560" s="1" t="s">
        <v>43</v>
      </c>
      <c r="M560" s="1" t="b">
        <v>0</v>
      </c>
      <c r="N560" s="1"/>
      <c r="O560">
        <v>1</v>
      </c>
      <c r="P560">
        <v>0</v>
      </c>
      <c r="Q560">
        <v>2</v>
      </c>
      <c r="R560" s="1">
        <f t="shared" si="122"/>
        <v>1</v>
      </c>
      <c r="S560" s="1">
        <f t="shared" si="123"/>
        <v>0</v>
      </c>
      <c r="T560" s="1">
        <f t="shared" si="124"/>
        <v>0</v>
      </c>
      <c r="U560" s="1">
        <f t="shared" si="125"/>
        <v>0</v>
      </c>
      <c r="V560" s="1">
        <f t="shared" si="126"/>
        <v>5</v>
      </c>
      <c r="W560" s="1" t="str">
        <f t="shared" si="127"/>
        <v>SB42</v>
      </c>
      <c r="X560" t="s">
        <v>149</v>
      </c>
      <c r="Y560" t="s">
        <v>149</v>
      </c>
      <c r="Z560" t="s">
        <v>304</v>
      </c>
      <c r="AA560" t="s">
        <v>323</v>
      </c>
      <c r="AB560">
        <v>4</v>
      </c>
      <c r="AJ560">
        <f t="shared" si="128"/>
        <v>101</v>
      </c>
      <c r="AK560">
        <f t="shared" si="129"/>
        <v>10</v>
      </c>
      <c r="AL560">
        <f t="shared" si="130"/>
        <v>5</v>
      </c>
      <c r="AM560">
        <f t="shared" si="120"/>
        <v>2</v>
      </c>
      <c r="AN560">
        <f t="shared" si="131"/>
        <v>5</v>
      </c>
      <c r="AO560">
        <f t="shared" si="132"/>
        <v>2</v>
      </c>
      <c r="AP560">
        <f t="shared" si="133"/>
        <v>0</v>
      </c>
      <c r="AQ560">
        <f t="shared" si="121"/>
        <v>0</v>
      </c>
      <c r="AR560">
        <f t="shared" si="134"/>
        <v>0</v>
      </c>
    </row>
    <row r="561" spans="1:44" x14ac:dyDescent="0.25">
      <c r="A561" t="s">
        <v>609</v>
      </c>
      <c r="C561" t="s">
        <v>6</v>
      </c>
      <c r="E561" t="s">
        <v>43</v>
      </c>
      <c r="G561" t="s">
        <v>2</v>
      </c>
      <c r="I561" s="1"/>
      <c r="J561" s="1" t="s">
        <v>6</v>
      </c>
      <c r="K561" s="1"/>
      <c r="L561" s="1" t="s">
        <v>43</v>
      </c>
      <c r="M561" s="1" t="b">
        <v>0</v>
      </c>
      <c r="N561" s="1"/>
      <c r="O561">
        <v>1</v>
      </c>
      <c r="P561">
        <v>1</v>
      </c>
      <c r="Q561">
        <v>2</v>
      </c>
      <c r="R561" s="1">
        <f t="shared" si="122"/>
        <v>1</v>
      </c>
      <c r="S561" s="1">
        <f t="shared" si="123"/>
        <v>1</v>
      </c>
      <c r="T561" s="1">
        <f t="shared" si="124"/>
        <v>0</v>
      </c>
      <c r="U561" s="1">
        <f t="shared" si="125"/>
        <v>1</v>
      </c>
      <c r="V561" s="1">
        <f t="shared" si="126"/>
        <v>5</v>
      </c>
      <c r="W561" s="1" t="str">
        <f t="shared" si="127"/>
        <v>SB42</v>
      </c>
      <c r="X561" t="s">
        <v>149</v>
      </c>
      <c r="Y561" t="s">
        <v>149</v>
      </c>
      <c r="Z561" t="s">
        <v>304</v>
      </c>
      <c r="AA561" t="s">
        <v>323</v>
      </c>
      <c r="AB561">
        <v>4</v>
      </c>
      <c r="AJ561">
        <f t="shared" si="128"/>
        <v>101</v>
      </c>
      <c r="AK561">
        <f t="shared" si="129"/>
        <v>10</v>
      </c>
      <c r="AL561">
        <f t="shared" si="130"/>
        <v>5</v>
      </c>
      <c r="AM561">
        <f t="shared" si="120"/>
        <v>2</v>
      </c>
      <c r="AN561">
        <f t="shared" si="131"/>
        <v>5</v>
      </c>
      <c r="AO561">
        <f t="shared" si="132"/>
        <v>2</v>
      </c>
      <c r="AP561">
        <f t="shared" si="133"/>
        <v>0</v>
      </c>
      <c r="AQ561">
        <f t="shared" si="121"/>
        <v>0</v>
      </c>
      <c r="AR561">
        <f t="shared" si="134"/>
        <v>0</v>
      </c>
    </row>
    <row r="562" spans="1:44" x14ac:dyDescent="0.25">
      <c r="A562" t="s">
        <v>610</v>
      </c>
      <c r="C562" t="s">
        <v>6</v>
      </c>
      <c r="E562" t="s">
        <v>43</v>
      </c>
      <c r="G562" t="s">
        <v>2</v>
      </c>
      <c r="I562" s="1"/>
      <c r="J562" s="1" t="s">
        <v>6</v>
      </c>
      <c r="K562" s="1"/>
      <c r="L562" s="1" t="s">
        <v>43</v>
      </c>
      <c r="M562" s="1" t="b">
        <v>0</v>
      </c>
      <c r="N562" s="1"/>
      <c r="O562">
        <v>1</v>
      </c>
      <c r="P562">
        <v>2</v>
      </c>
      <c r="Q562">
        <v>2</v>
      </c>
      <c r="R562" s="1">
        <f t="shared" si="122"/>
        <v>1</v>
      </c>
      <c r="S562" s="1">
        <f t="shared" si="123"/>
        <v>2</v>
      </c>
      <c r="T562" s="1">
        <f t="shared" si="124"/>
        <v>0</v>
      </c>
      <c r="U562" s="1">
        <f t="shared" si="125"/>
        <v>2</v>
      </c>
      <c r="V562" s="1">
        <f t="shared" si="126"/>
        <v>5</v>
      </c>
      <c r="W562" s="1" t="str">
        <f t="shared" si="127"/>
        <v>SB42</v>
      </c>
      <c r="X562" t="s">
        <v>149</v>
      </c>
      <c r="Y562" t="s">
        <v>149</v>
      </c>
      <c r="Z562" t="s">
        <v>304</v>
      </c>
      <c r="AA562" t="s">
        <v>323</v>
      </c>
      <c r="AB562">
        <v>4</v>
      </c>
      <c r="AJ562">
        <f t="shared" si="128"/>
        <v>101</v>
      </c>
      <c r="AK562">
        <f t="shared" si="129"/>
        <v>10</v>
      </c>
      <c r="AL562">
        <f t="shared" si="130"/>
        <v>5</v>
      </c>
      <c r="AM562">
        <f t="shared" si="120"/>
        <v>2</v>
      </c>
      <c r="AN562">
        <f t="shared" si="131"/>
        <v>5</v>
      </c>
      <c r="AO562">
        <f t="shared" si="132"/>
        <v>2</v>
      </c>
      <c r="AP562">
        <f t="shared" si="133"/>
        <v>0</v>
      </c>
      <c r="AQ562">
        <f t="shared" si="121"/>
        <v>0</v>
      </c>
      <c r="AR562">
        <f t="shared" si="134"/>
        <v>0</v>
      </c>
    </row>
    <row r="563" spans="1:44" x14ac:dyDescent="0.25">
      <c r="A563" t="s">
        <v>611</v>
      </c>
      <c r="D563" t="s">
        <v>7</v>
      </c>
      <c r="E563" t="s">
        <v>43</v>
      </c>
      <c r="H563" t="s">
        <v>3</v>
      </c>
      <c r="I563" s="1"/>
      <c r="J563" s="1"/>
      <c r="K563" s="1" t="s">
        <v>7</v>
      </c>
      <c r="L563" s="1" t="s">
        <v>43</v>
      </c>
      <c r="M563" s="1" t="b">
        <v>0</v>
      </c>
      <c r="N563" s="1"/>
      <c r="O563">
        <v>1</v>
      </c>
      <c r="P563">
        <v>0</v>
      </c>
      <c r="Q563">
        <v>3</v>
      </c>
      <c r="R563" s="1">
        <f t="shared" si="122"/>
        <v>1</v>
      </c>
      <c r="S563" s="1">
        <f t="shared" si="123"/>
        <v>0</v>
      </c>
      <c r="T563" s="1">
        <f t="shared" si="124"/>
        <v>0</v>
      </c>
      <c r="U563" s="1">
        <f t="shared" si="125"/>
        <v>0</v>
      </c>
      <c r="V563" s="1">
        <f t="shared" si="126"/>
        <v>6</v>
      </c>
      <c r="W563" s="1" t="str">
        <f t="shared" si="127"/>
        <v>SB43</v>
      </c>
      <c r="X563" t="s">
        <v>149</v>
      </c>
      <c r="Y563" t="s">
        <v>149</v>
      </c>
      <c r="Z563" t="s">
        <v>304</v>
      </c>
      <c r="AA563" t="s">
        <v>323</v>
      </c>
      <c r="AB563">
        <v>4</v>
      </c>
      <c r="AJ563">
        <f t="shared" si="128"/>
        <v>110</v>
      </c>
      <c r="AK563">
        <f t="shared" si="129"/>
        <v>100</v>
      </c>
      <c r="AL563">
        <f t="shared" si="130"/>
        <v>6</v>
      </c>
      <c r="AM563">
        <f t="shared" si="120"/>
        <v>3</v>
      </c>
      <c r="AN563">
        <f t="shared" si="131"/>
        <v>6</v>
      </c>
      <c r="AO563">
        <f t="shared" si="132"/>
        <v>3</v>
      </c>
      <c r="AP563">
        <f t="shared" si="133"/>
        <v>0</v>
      </c>
      <c r="AQ563">
        <f t="shared" si="121"/>
        <v>0</v>
      </c>
      <c r="AR563">
        <f t="shared" si="134"/>
        <v>0</v>
      </c>
    </row>
    <row r="564" spans="1:44" x14ac:dyDescent="0.25">
      <c r="A564" t="s">
        <v>612</v>
      </c>
      <c r="C564" t="s">
        <v>5</v>
      </c>
      <c r="D564" t="s">
        <v>7</v>
      </c>
      <c r="E564" t="s">
        <v>43</v>
      </c>
      <c r="F564" t="s">
        <v>2</v>
      </c>
      <c r="H564" t="s">
        <v>3</v>
      </c>
      <c r="I564" s="1"/>
      <c r="J564" s="1" t="s">
        <v>5</v>
      </c>
      <c r="K564" s="1" t="s">
        <v>7</v>
      </c>
      <c r="L564" s="1" t="s">
        <v>43</v>
      </c>
      <c r="M564" s="1" t="b">
        <v>0</v>
      </c>
      <c r="N564" s="1"/>
      <c r="O564">
        <v>1</v>
      </c>
      <c r="P564">
        <v>0</v>
      </c>
      <c r="Q564">
        <v>5</v>
      </c>
      <c r="R564" s="1">
        <f t="shared" si="122"/>
        <v>1</v>
      </c>
      <c r="S564" s="1">
        <f t="shared" si="123"/>
        <v>0</v>
      </c>
      <c r="T564" s="1">
        <f t="shared" si="124"/>
        <v>0</v>
      </c>
      <c r="U564" s="1">
        <f t="shared" si="125"/>
        <v>0</v>
      </c>
      <c r="V564" s="1">
        <f t="shared" si="126"/>
        <v>7</v>
      </c>
      <c r="W564" s="1" t="str">
        <f t="shared" si="127"/>
        <v>SB43</v>
      </c>
      <c r="X564" t="s">
        <v>149</v>
      </c>
      <c r="Y564" t="s">
        <v>149</v>
      </c>
      <c r="Z564" t="s">
        <v>304</v>
      </c>
      <c r="AA564" t="s">
        <v>323</v>
      </c>
      <c r="AB564">
        <v>4</v>
      </c>
      <c r="AJ564">
        <f t="shared" si="128"/>
        <v>111</v>
      </c>
      <c r="AK564">
        <f t="shared" si="129"/>
        <v>101</v>
      </c>
      <c r="AL564">
        <f t="shared" si="130"/>
        <v>7</v>
      </c>
      <c r="AM564">
        <f t="shared" si="120"/>
        <v>5</v>
      </c>
      <c r="AN564">
        <f t="shared" si="131"/>
        <v>7</v>
      </c>
      <c r="AO564">
        <f t="shared" si="132"/>
        <v>5</v>
      </c>
      <c r="AP564">
        <f t="shared" si="133"/>
        <v>0</v>
      </c>
      <c r="AQ564">
        <f t="shared" si="121"/>
        <v>0</v>
      </c>
      <c r="AR564">
        <f t="shared" si="134"/>
        <v>0</v>
      </c>
    </row>
    <row r="565" spans="1:44" x14ac:dyDescent="0.25">
      <c r="A565" t="s">
        <v>613</v>
      </c>
      <c r="D565" t="s">
        <v>7</v>
      </c>
      <c r="E565" t="s">
        <v>43</v>
      </c>
      <c r="H565" t="s">
        <v>3</v>
      </c>
      <c r="I565" s="1"/>
      <c r="J565" s="1"/>
      <c r="K565" s="1" t="s">
        <v>7</v>
      </c>
      <c r="L565" s="1" t="s">
        <v>43</v>
      </c>
      <c r="M565" s="1" t="b">
        <v>0</v>
      </c>
      <c r="N565" s="1"/>
      <c r="O565">
        <v>1</v>
      </c>
      <c r="P565">
        <v>1</v>
      </c>
      <c r="Q565">
        <v>3</v>
      </c>
      <c r="R565" s="1">
        <f t="shared" si="122"/>
        <v>1</v>
      </c>
      <c r="S565" s="1">
        <f t="shared" si="123"/>
        <v>1</v>
      </c>
      <c r="T565" s="1">
        <f t="shared" si="124"/>
        <v>0</v>
      </c>
      <c r="U565" s="1">
        <f t="shared" si="125"/>
        <v>1</v>
      </c>
      <c r="V565" s="1">
        <f t="shared" si="126"/>
        <v>6</v>
      </c>
      <c r="W565" s="1" t="str">
        <f t="shared" si="127"/>
        <v>SB43</v>
      </c>
      <c r="X565" t="s">
        <v>149</v>
      </c>
      <c r="Y565" t="s">
        <v>149</v>
      </c>
      <c r="Z565" t="s">
        <v>304</v>
      </c>
      <c r="AA565" t="s">
        <v>323</v>
      </c>
      <c r="AB565">
        <v>4</v>
      </c>
      <c r="AJ565">
        <f t="shared" si="128"/>
        <v>110</v>
      </c>
      <c r="AK565">
        <f t="shared" si="129"/>
        <v>100</v>
      </c>
      <c r="AL565">
        <f t="shared" si="130"/>
        <v>6</v>
      </c>
      <c r="AM565">
        <f t="shared" si="120"/>
        <v>3</v>
      </c>
      <c r="AN565">
        <f t="shared" si="131"/>
        <v>6</v>
      </c>
      <c r="AO565">
        <f t="shared" si="132"/>
        <v>3</v>
      </c>
      <c r="AP565">
        <f t="shared" si="133"/>
        <v>0</v>
      </c>
      <c r="AQ565">
        <f t="shared" si="121"/>
        <v>0</v>
      </c>
      <c r="AR565">
        <f t="shared" si="134"/>
        <v>0</v>
      </c>
    </row>
    <row r="566" spans="1:44" x14ac:dyDescent="0.25">
      <c r="A566" t="s">
        <v>614</v>
      </c>
      <c r="C566" t="s">
        <v>5</v>
      </c>
      <c r="D566" t="s">
        <v>7</v>
      </c>
      <c r="E566" t="s">
        <v>43</v>
      </c>
      <c r="F566" t="s">
        <v>2</v>
      </c>
      <c r="H566" t="s">
        <v>3</v>
      </c>
      <c r="I566" s="1"/>
      <c r="J566" s="1" t="s">
        <v>5</v>
      </c>
      <c r="K566" s="1" t="s">
        <v>7</v>
      </c>
      <c r="L566" s="1" t="s">
        <v>43</v>
      </c>
      <c r="M566" s="1" t="b">
        <v>0</v>
      </c>
      <c r="N566" s="1"/>
      <c r="O566">
        <v>1</v>
      </c>
      <c r="P566">
        <v>1</v>
      </c>
      <c r="Q566">
        <v>5</v>
      </c>
      <c r="R566" s="1">
        <f t="shared" si="122"/>
        <v>1</v>
      </c>
      <c r="S566" s="1">
        <f t="shared" si="123"/>
        <v>1</v>
      </c>
      <c r="T566" s="1">
        <f t="shared" si="124"/>
        <v>0</v>
      </c>
      <c r="U566" s="1">
        <f t="shared" si="125"/>
        <v>1</v>
      </c>
      <c r="V566" s="1">
        <f t="shared" si="126"/>
        <v>7</v>
      </c>
      <c r="W566" s="1" t="str">
        <f t="shared" si="127"/>
        <v>SB43</v>
      </c>
      <c r="X566" t="s">
        <v>149</v>
      </c>
      <c r="Y566" t="s">
        <v>149</v>
      </c>
      <c r="Z566" t="s">
        <v>304</v>
      </c>
      <c r="AA566" t="s">
        <v>323</v>
      </c>
      <c r="AB566">
        <v>4</v>
      </c>
      <c r="AJ566">
        <f t="shared" si="128"/>
        <v>111</v>
      </c>
      <c r="AK566">
        <f t="shared" si="129"/>
        <v>101</v>
      </c>
      <c r="AL566">
        <f t="shared" si="130"/>
        <v>7</v>
      </c>
      <c r="AM566">
        <f t="shared" si="120"/>
        <v>5</v>
      </c>
      <c r="AN566">
        <f t="shared" si="131"/>
        <v>7</v>
      </c>
      <c r="AO566">
        <f t="shared" si="132"/>
        <v>5</v>
      </c>
      <c r="AP566">
        <f t="shared" si="133"/>
        <v>0</v>
      </c>
      <c r="AQ566">
        <f t="shared" si="121"/>
        <v>0</v>
      </c>
      <c r="AR566">
        <f t="shared" si="134"/>
        <v>0</v>
      </c>
    </row>
    <row r="567" spans="1:44" x14ac:dyDescent="0.25">
      <c r="A567" t="s">
        <v>615</v>
      </c>
      <c r="D567" t="s">
        <v>7</v>
      </c>
      <c r="E567" t="s">
        <v>43</v>
      </c>
      <c r="H567" t="s">
        <v>3</v>
      </c>
      <c r="I567" s="1"/>
      <c r="J567" s="1"/>
      <c r="K567" s="1" t="s">
        <v>7</v>
      </c>
      <c r="L567" s="1" t="s">
        <v>43</v>
      </c>
      <c r="M567" s="1" t="b">
        <v>0</v>
      </c>
      <c r="N567" s="1"/>
      <c r="O567">
        <v>1</v>
      </c>
      <c r="P567">
        <v>2</v>
      </c>
      <c r="Q567">
        <v>3</v>
      </c>
      <c r="R567" s="1">
        <f t="shared" si="122"/>
        <v>1</v>
      </c>
      <c r="S567" s="1">
        <f t="shared" si="123"/>
        <v>2</v>
      </c>
      <c r="T567" s="1">
        <f t="shared" si="124"/>
        <v>0</v>
      </c>
      <c r="U567" s="1">
        <f t="shared" si="125"/>
        <v>2</v>
      </c>
      <c r="V567" s="1">
        <f t="shared" si="126"/>
        <v>6</v>
      </c>
      <c r="W567" s="1" t="str">
        <f t="shared" si="127"/>
        <v>SB43</v>
      </c>
      <c r="X567" t="s">
        <v>149</v>
      </c>
      <c r="Y567" t="s">
        <v>149</v>
      </c>
      <c r="Z567" t="s">
        <v>304</v>
      </c>
      <c r="AA567" t="s">
        <v>323</v>
      </c>
      <c r="AB567">
        <v>4</v>
      </c>
      <c r="AJ567">
        <f t="shared" si="128"/>
        <v>110</v>
      </c>
      <c r="AK567">
        <f t="shared" si="129"/>
        <v>100</v>
      </c>
      <c r="AL567">
        <f t="shared" si="130"/>
        <v>6</v>
      </c>
      <c r="AM567">
        <f t="shared" si="120"/>
        <v>3</v>
      </c>
      <c r="AN567">
        <f t="shared" si="131"/>
        <v>6</v>
      </c>
      <c r="AO567">
        <f t="shared" si="132"/>
        <v>3</v>
      </c>
      <c r="AP567">
        <f t="shared" si="133"/>
        <v>0</v>
      </c>
      <c r="AQ567">
        <f t="shared" si="121"/>
        <v>0</v>
      </c>
      <c r="AR567">
        <f t="shared" si="134"/>
        <v>0</v>
      </c>
    </row>
    <row r="568" spans="1:44" x14ac:dyDescent="0.25">
      <c r="A568" t="s">
        <v>616</v>
      </c>
      <c r="C568" t="s">
        <v>5</v>
      </c>
      <c r="D568" t="s">
        <v>7</v>
      </c>
      <c r="E568" t="s">
        <v>43</v>
      </c>
      <c r="F568" t="s">
        <v>2</v>
      </c>
      <c r="H568" t="s">
        <v>3</v>
      </c>
      <c r="I568" s="1"/>
      <c r="J568" s="1" t="s">
        <v>5</v>
      </c>
      <c r="K568" s="1" t="s">
        <v>7</v>
      </c>
      <c r="L568" s="1" t="s">
        <v>43</v>
      </c>
      <c r="M568" s="1" t="b">
        <v>0</v>
      </c>
      <c r="N568" s="1"/>
      <c r="O568">
        <v>1</v>
      </c>
      <c r="P568">
        <v>2</v>
      </c>
      <c r="Q568">
        <v>5</v>
      </c>
      <c r="R568" s="1">
        <f t="shared" si="122"/>
        <v>1</v>
      </c>
      <c r="S568" s="1">
        <f t="shared" si="123"/>
        <v>2</v>
      </c>
      <c r="T568" s="1">
        <f t="shared" si="124"/>
        <v>0</v>
      </c>
      <c r="U568" s="1">
        <f t="shared" si="125"/>
        <v>2</v>
      </c>
      <c r="V568" s="1">
        <f t="shared" si="126"/>
        <v>7</v>
      </c>
      <c r="W568" s="1" t="str">
        <f t="shared" si="127"/>
        <v>SB43</v>
      </c>
      <c r="X568" t="s">
        <v>149</v>
      </c>
      <c r="Y568" t="s">
        <v>149</v>
      </c>
      <c r="Z568" t="s">
        <v>304</v>
      </c>
      <c r="AA568" t="s">
        <v>323</v>
      </c>
      <c r="AB568">
        <v>4</v>
      </c>
      <c r="AJ568">
        <f t="shared" si="128"/>
        <v>111</v>
      </c>
      <c r="AK568">
        <f t="shared" si="129"/>
        <v>101</v>
      </c>
      <c r="AL568">
        <f t="shared" si="130"/>
        <v>7</v>
      </c>
      <c r="AM568">
        <f t="shared" si="120"/>
        <v>5</v>
      </c>
      <c r="AN568">
        <f t="shared" si="131"/>
        <v>7</v>
      </c>
      <c r="AO568">
        <f t="shared" si="132"/>
        <v>5</v>
      </c>
      <c r="AP568">
        <f t="shared" si="133"/>
        <v>0</v>
      </c>
      <c r="AQ568">
        <f t="shared" si="121"/>
        <v>0</v>
      </c>
      <c r="AR568">
        <f t="shared" si="134"/>
        <v>0</v>
      </c>
    </row>
    <row r="569" spans="1:44" x14ac:dyDescent="0.25">
      <c r="A569" t="s">
        <v>617</v>
      </c>
      <c r="C569" t="s">
        <v>6</v>
      </c>
      <c r="D569" t="s">
        <v>7</v>
      </c>
      <c r="E569" t="s">
        <v>43</v>
      </c>
      <c r="G569" t="s">
        <v>2</v>
      </c>
      <c r="H569" t="s">
        <v>3</v>
      </c>
      <c r="I569" s="1"/>
      <c r="J569" s="1" t="s">
        <v>6</v>
      </c>
      <c r="K569" s="1" t="s">
        <v>7</v>
      </c>
      <c r="L569" s="1" t="s">
        <v>43</v>
      </c>
      <c r="M569" s="1" t="b">
        <v>0</v>
      </c>
      <c r="N569" s="1"/>
      <c r="O569">
        <v>1</v>
      </c>
      <c r="P569">
        <v>0</v>
      </c>
      <c r="Q569">
        <v>6</v>
      </c>
      <c r="R569" s="1">
        <f t="shared" si="122"/>
        <v>1</v>
      </c>
      <c r="S569" s="1">
        <f t="shared" si="123"/>
        <v>0</v>
      </c>
      <c r="T569" s="1">
        <f t="shared" si="124"/>
        <v>0</v>
      </c>
      <c r="U569" s="1">
        <f t="shared" si="125"/>
        <v>0</v>
      </c>
      <c r="V569" s="1">
        <f t="shared" si="126"/>
        <v>7</v>
      </c>
      <c r="W569" s="1" t="str">
        <f t="shared" si="127"/>
        <v>SB432</v>
      </c>
      <c r="X569" t="s">
        <v>149</v>
      </c>
      <c r="Y569" t="s">
        <v>149</v>
      </c>
      <c r="Z569" t="s">
        <v>304</v>
      </c>
      <c r="AA569" t="s">
        <v>323</v>
      </c>
      <c r="AB569">
        <v>4</v>
      </c>
      <c r="AJ569">
        <f t="shared" si="128"/>
        <v>111</v>
      </c>
      <c r="AK569">
        <f t="shared" si="129"/>
        <v>110</v>
      </c>
      <c r="AL569">
        <f t="shared" si="130"/>
        <v>7</v>
      </c>
      <c r="AM569">
        <f t="shared" si="120"/>
        <v>6</v>
      </c>
      <c r="AN569">
        <f t="shared" si="131"/>
        <v>7</v>
      </c>
      <c r="AO569">
        <f t="shared" si="132"/>
        <v>6</v>
      </c>
      <c r="AP569">
        <f t="shared" si="133"/>
        <v>0</v>
      </c>
      <c r="AQ569">
        <f t="shared" si="121"/>
        <v>0</v>
      </c>
      <c r="AR569">
        <f t="shared" si="134"/>
        <v>0</v>
      </c>
    </row>
    <row r="570" spans="1:44" x14ac:dyDescent="0.25">
      <c r="A570" t="s">
        <v>618</v>
      </c>
      <c r="C570" t="s">
        <v>6</v>
      </c>
      <c r="D570" t="s">
        <v>7</v>
      </c>
      <c r="E570" t="s">
        <v>43</v>
      </c>
      <c r="G570" t="s">
        <v>2</v>
      </c>
      <c r="H570" t="s">
        <v>3</v>
      </c>
      <c r="I570" s="1"/>
      <c r="J570" s="1" t="s">
        <v>6</v>
      </c>
      <c r="K570" s="1" t="s">
        <v>7</v>
      </c>
      <c r="L570" s="1" t="s">
        <v>43</v>
      </c>
      <c r="M570" s="1" t="b">
        <v>0</v>
      </c>
      <c r="N570" s="1"/>
      <c r="O570">
        <v>1</v>
      </c>
      <c r="P570">
        <v>1</v>
      </c>
      <c r="Q570">
        <v>6</v>
      </c>
      <c r="R570" s="1">
        <f t="shared" si="122"/>
        <v>1</v>
      </c>
      <c r="S570" s="1">
        <f t="shared" si="123"/>
        <v>1</v>
      </c>
      <c r="T570" s="1">
        <f t="shared" si="124"/>
        <v>0</v>
      </c>
      <c r="U570" s="1">
        <f t="shared" si="125"/>
        <v>1</v>
      </c>
      <c r="V570" s="1">
        <f t="shared" si="126"/>
        <v>7</v>
      </c>
      <c r="W570" s="1" t="str">
        <f t="shared" si="127"/>
        <v>SB432</v>
      </c>
      <c r="X570" t="s">
        <v>149</v>
      </c>
      <c r="Y570" t="s">
        <v>149</v>
      </c>
      <c r="Z570" t="s">
        <v>304</v>
      </c>
      <c r="AA570" t="s">
        <v>323</v>
      </c>
      <c r="AB570">
        <v>4</v>
      </c>
      <c r="AJ570">
        <f t="shared" si="128"/>
        <v>111</v>
      </c>
      <c r="AK570">
        <f t="shared" si="129"/>
        <v>110</v>
      </c>
      <c r="AL570">
        <f t="shared" si="130"/>
        <v>7</v>
      </c>
      <c r="AM570">
        <f t="shared" si="120"/>
        <v>6</v>
      </c>
      <c r="AN570">
        <f t="shared" si="131"/>
        <v>7</v>
      </c>
      <c r="AO570">
        <f t="shared" si="132"/>
        <v>6</v>
      </c>
      <c r="AP570">
        <f t="shared" si="133"/>
        <v>0</v>
      </c>
      <c r="AQ570">
        <f t="shared" si="121"/>
        <v>0</v>
      </c>
      <c r="AR570">
        <f t="shared" si="134"/>
        <v>0</v>
      </c>
    </row>
    <row r="571" spans="1:44" x14ac:dyDescent="0.25">
      <c r="A571" t="s">
        <v>619</v>
      </c>
      <c r="C571" t="s">
        <v>6</v>
      </c>
      <c r="D571" t="s">
        <v>7</v>
      </c>
      <c r="E571" t="s">
        <v>43</v>
      </c>
      <c r="G571" t="s">
        <v>2</v>
      </c>
      <c r="H571" t="s">
        <v>3</v>
      </c>
      <c r="I571" s="1"/>
      <c r="J571" s="1" t="s">
        <v>6</v>
      </c>
      <c r="K571" s="1" t="s">
        <v>7</v>
      </c>
      <c r="L571" s="1" t="s">
        <v>43</v>
      </c>
      <c r="M571" s="1" t="b">
        <v>0</v>
      </c>
      <c r="N571" s="1"/>
      <c r="O571">
        <v>1</v>
      </c>
      <c r="P571">
        <v>2</v>
      </c>
      <c r="Q571">
        <v>6</v>
      </c>
      <c r="R571" s="1">
        <f t="shared" si="122"/>
        <v>1</v>
      </c>
      <c r="S571" s="1">
        <f t="shared" si="123"/>
        <v>2</v>
      </c>
      <c r="T571" s="1">
        <f t="shared" si="124"/>
        <v>0</v>
      </c>
      <c r="U571" s="1">
        <f t="shared" si="125"/>
        <v>2</v>
      </c>
      <c r="V571" s="1">
        <f t="shared" si="126"/>
        <v>7</v>
      </c>
      <c r="W571" s="1" t="str">
        <f t="shared" si="127"/>
        <v>SB432</v>
      </c>
      <c r="X571" t="s">
        <v>149</v>
      </c>
      <c r="Y571" t="s">
        <v>149</v>
      </c>
      <c r="Z571" t="s">
        <v>304</v>
      </c>
      <c r="AA571" t="s">
        <v>323</v>
      </c>
      <c r="AB571">
        <v>4</v>
      </c>
      <c r="AJ571">
        <f t="shared" si="128"/>
        <v>111</v>
      </c>
      <c r="AK571">
        <f t="shared" si="129"/>
        <v>110</v>
      </c>
      <c r="AL571">
        <f t="shared" si="130"/>
        <v>7</v>
      </c>
      <c r="AM571">
        <f t="shared" si="120"/>
        <v>6</v>
      </c>
      <c r="AN571">
        <f t="shared" si="131"/>
        <v>7</v>
      </c>
      <c r="AO571">
        <f t="shared" si="132"/>
        <v>6</v>
      </c>
      <c r="AP571">
        <f t="shared" si="133"/>
        <v>0</v>
      </c>
      <c r="AQ571">
        <f t="shared" si="121"/>
        <v>0</v>
      </c>
      <c r="AR571">
        <f t="shared" si="134"/>
        <v>0</v>
      </c>
    </row>
    <row r="572" spans="1:44" x14ac:dyDescent="0.25">
      <c r="A572" t="s">
        <v>620</v>
      </c>
      <c r="B572">
        <v>0</v>
      </c>
      <c r="C572">
        <v>0</v>
      </c>
      <c r="D572">
        <v>0</v>
      </c>
      <c r="I572" s="1">
        <v>0</v>
      </c>
      <c r="J572" s="1">
        <v>0</v>
      </c>
      <c r="K572" s="1">
        <v>0</v>
      </c>
      <c r="L572" s="1"/>
      <c r="M572" s="1" t="b">
        <v>0</v>
      </c>
      <c r="N572" s="1"/>
      <c r="O572">
        <v>0</v>
      </c>
      <c r="P572">
        <v>3</v>
      </c>
      <c r="Q572">
        <v>0</v>
      </c>
      <c r="R572" s="1">
        <f t="shared" si="122"/>
        <v>0</v>
      </c>
      <c r="S572" s="1">
        <f t="shared" si="123"/>
        <v>0</v>
      </c>
      <c r="T572" s="1">
        <f t="shared" si="124"/>
        <v>3</v>
      </c>
      <c r="U572" s="1">
        <f t="shared" si="125"/>
        <v>3</v>
      </c>
      <c r="V572" s="1">
        <f t="shared" si="126"/>
        <v>4</v>
      </c>
      <c r="W572" s="1" t="str">
        <f t="shared" si="127"/>
        <v>TP</v>
      </c>
      <c r="X572" t="s">
        <v>39</v>
      </c>
      <c r="Y572" t="s">
        <v>149</v>
      </c>
      <c r="Z572" t="s">
        <v>621</v>
      </c>
      <c r="AA572" t="s">
        <v>262</v>
      </c>
      <c r="AB572" t="s">
        <v>622</v>
      </c>
      <c r="AC572" t="s">
        <v>622</v>
      </c>
      <c r="AD572" t="s">
        <v>622</v>
      </c>
      <c r="AE572" t="s">
        <v>622</v>
      </c>
      <c r="AF572" t="s">
        <v>622</v>
      </c>
      <c r="AG572" t="s">
        <v>622</v>
      </c>
      <c r="AH572" t="s">
        <v>622</v>
      </c>
      <c r="AJ572">
        <f t="shared" si="128"/>
        <v>11</v>
      </c>
      <c r="AK572">
        <f t="shared" si="129"/>
        <v>0</v>
      </c>
      <c r="AL572">
        <f t="shared" si="130"/>
        <v>4</v>
      </c>
      <c r="AM572">
        <f t="shared" si="120"/>
        <v>0</v>
      </c>
      <c r="AN572">
        <f t="shared" si="131"/>
        <v>4</v>
      </c>
      <c r="AO572">
        <f t="shared" si="132"/>
        <v>0</v>
      </c>
      <c r="AP572">
        <f t="shared" si="133"/>
        <v>0</v>
      </c>
      <c r="AQ572">
        <f t="shared" si="121"/>
        <v>0</v>
      </c>
      <c r="AR572">
        <f t="shared" si="134"/>
        <v>0</v>
      </c>
    </row>
    <row r="573" spans="1:44" x14ac:dyDescent="0.25">
      <c r="A573" t="s">
        <v>623</v>
      </c>
      <c r="B573">
        <v>0</v>
      </c>
      <c r="C573">
        <v>0</v>
      </c>
      <c r="D573">
        <v>0</v>
      </c>
      <c r="I573" s="1">
        <v>0</v>
      </c>
      <c r="J573" s="1">
        <v>0</v>
      </c>
      <c r="K573" s="1">
        <v>0</v>
      </c>
      <c r="L573" s="1" t="s">
        <v>7</v>
      </c>
      <c r="M573" s="1" t="b">
        <v>0</v>
      </c>
      <c r="N573" s="1"/>
      <c r="O573">
        <v>0</v>
      </c>
      <c r="P573">
        <v>3</v>
      </c>
      <c r="Q573">
        <v>0</v>
      </c>
      <c r="R573" s="1">
        <f t="shared" si="122"/>
        <v>0</v>
      </c>
      <c r="S573" s="1">
        <f t="shared" si="123"/>
        <v>0</v>
      </c>
      <c r="T573" s="1">
        <f t="shared" si="124"/>
        <v>3</v>
      </c>
      <c r="U573" s="1">
        <f t="shared" si="125"/>
        <v>3</v>
      </c>
      <c r="V573" s="1">
        <f t="shared" si="126"/>
        <v>7</v>
      </c>
      <c r="W573" s="1" t="str">
        <f t="shared" si="127"/>
        <v>TP</v>
      </c>
      <c r="X573" t="s">
        <v>39</v>
      </c>
      <c r="Y573" t="s">
        <v>149</v>
      </c>
      <c r="Z573" t="s">
        <v>621</v>
      </c>
      <c r="AA573" t="s">
        <v>262</v>
      </c>
      <c r="AB573" t="s">
        <v>622</v>
      </c>
      <c r="AC573" t="s">
        <v>622</v>
      </c>
      <c r="AD573" t="s">
        <v>624</v>
      </c>
      <c r="AE573" t="s">
        <v>622</v>
      </c>
      <c r="AF573" t="s">
        <v>622</v>
      </c>
      <c r="AG573" t="s">
        <v>622</v>
      </c>
      <c r="AH573" t="s">
        <v>622</v>
      </c>
      <c r="AJ573">
        <f t="shared" si="128"/>
        <v>11</v>
      </c>
      <c r="AK573">
        <f t="shared" si="129"/>
        <v>0</v>
      </c>
      <c r="AL573">
        <f t="shared" si="130"/>
        <v>4</v>
      </c>
      <c r="AM573">
        <f t="shared" si="120"/>
        <v>0</v>
      </c>
      <c r="AN573">
        <f t="shared" si="131"/>
        <v>7</v>
      </c>
      <c r="AO573">
        <f t="shared" si="132"/>
        <v>0</v>
      </c>
      <c r="AP573">
        <f t="shared" si="133"/>
        <v>1</v>
      </c>
      <c r="AQ573">
        <f t="shared" si="121"/>
        <v>0</v>
      </c>
      <c r="AR573">
        <f t="shared" si="134"/>
        <v>1</v>
      </c>
    </row>
    <row r="574" spans="1:44" x14ac:dyDescent="0.25">
      <c r="A574" t="s">
        <v>625</v>
      </c>
      <c r="B574">
        <v>0</v>
      </c>
      <c r="C574" t="s">
        <v>6</v>
      </c>
      <c r="G574" t="s">
        <v>2</v>
      </c>
      <c r="I574" s="1">
        <v>0</v>
      </c>
      <c r="J574" s="1" t="s">
        <v>6</v>
      </c>
      <c r="K574" s="1"/>
      <c r="L574" s="1"/>
      <c r="M574" s="1" t="b">
        <v>0</v>
      </c>
      <c r="N574" s="1"/>
      <c r="O574">
        <v>0</v>
      </c>
      <c r="P574">
        <v>1</v>
      </c>
      <c r="Q574">
        <v>2</v>
      </c>
      <c r="R574" s="1">
        <f t="shared" si="122"/>
        <v>0</v>
      </c>
      <c r="S574" s="1">
        <f t="shared" si="123"/>
        <v>0</v>
      </c>
      <c r="T574" s="1">
        <f t="shared" si="124"/>
        <v>1</v>
      </c>
      <c r="U574" s="1">
        <f t="shared" si="125"/>
        <v>1</v>
      </c>
      <c r="V574" s="1">
        <f t="shared" si="126"/>
        <v>1</v>
      </c>
      <c r="W574" s="1" t="str">
        <f t="shared" si="127"/>
        <v>SacB</v>
      </c>
      <c r="X574" t="s">
        <v>149</v>
      </c>
      <c r="Y574" t="s">
        <v>149</v>
      </c>
      <c r="Z574" t="s">
        <v>261</v>
      </c>
      <c r="AA574" t="s">
        <v>262</v>
      </c>
      <c r="AB574">
        <v>1</v>
      </c>
      <c r="AJ574">
        <f t="shared" si="128"/>
        <v>1</v>
      </c>
      <c r="AK574">
        <f t="shared" si="129"/>
        <v>10</v>
      </c>
      <c r="AL574">
        <f t="shared" si="130"/>
        <v>1</v>
      </c>
      <c r="AM574">
        <f t="shared" si="120"/>
        <v>2</v>
      </c>
      <c r="AN574">
        <f t="shared" si="131"/>
        <v>1</v>
      </c>
      <c r="AO574">
        <f t="shared" si="132"/>
        <v>2</v>
      </c>
      <c r="AP574">
        <f t="shared" si="133"/>
        <v>0</v>
      </c>
      <c r="AQ574">
        <f t="shared" si="121"/>
        <v>0</v>
      </c>
      <c r="AR574">
        <f t="shared" si="134"/>
        <v>0</v>
      </c>
    </row>
    <row r="575" spans="1:44" x14ac:dyDescent="0.25">
      <c r="A575" t="s">
        <v>626</v>
      </c>
      <c r="B575">
        <v>0</v>
      </c>
      <c r="D575" t="s">
        <v>7</v>
      </c>
      <c r="H575" t="s">
        <v>3</v>
      </c>
      <c r="I575" s="1">
        <v>0</v>
      </c>
      <c r="J575" s="1"/>
      <c r="K575" s="1" t="s">
        <v>7</v>
      </c>
      <c r="L575" s="1"/>
      <c r="M575" s="1" t="b">
        <v>0</v>
      </c>
      <c r="N575" s="1"/>
      <c r="O575">
        <v>0</v>
      </c>
      <c r="P575">
        <v>1</v>
      </c>
      <c r="Q575">
        <v>3</v>
      </c>
      <c r="R575" s="1">
        <f t="shared" si="122"/>
        <v>0</v>
      </c>
      <c r="S575" s="1">
        <f t="shared" si="123"/>
        <v>0</v>
      </c>
      <c r="T575" s="1">
        <f t="shared" si="124"/>
        <v>1</v>
      </c>
      <c r="U575" s="1">
        <f t="shared" si="125"/>
        <v>1</v>
      </c>
      <c r="V575" s="1">
        <f t="shared" si="126"/>
        <v>2</v>
      </c>
      <c r="W575" s="1" t="str">
        <f t="shared" si="127"/>
        <v>SacB</v>
      </c>
      <c r="X575" t="s">
        <v>149</v>
      </c>
      <c r="Y575" t="s">
        <v>149</v>
      </c>
      <c r="Z575" t="s">
        <v>261</v>
      </c>
      <c r="AA575" t="s">
        <v>262</v>
      </c>
      <c r="AB575">
        <v>1</v>
      </c>
      <c r="AJ575">
        <f t="shared" si="128"/>
        <v>10</v>
      </c>
      <c r="AK575">
        <f t="shared" si="129"/>
        <v>100</v>
      </c>
      <c r="AL575">
        <f t="shared" si="130"/>
        <v>2</v>
      </c>
      <c r="AM575">
        <f t="shared" si="120"/>
        <v>3</v>
      </c>
      <c r="AN575">
        <f t="shared" si="131"/>
        <v>2</v>
      </c>
      <c r="AO575">
        <f t="shared" si="132"/>
        <v>3</v>
      </c>
      <c r="AP575">
        <f t="shared" si="133"/>
        <v>0</v>
      </c>
      <c r="AQ575">
        <f t="shared" si="121"/>
        <v>0</v>
      </c>
      <c r="AR575">
        <f t="shared" si="134"/>
        <v>0</v>
      </c>
    </row>
    <row r="576" spans="1:44" x14ac:dyDescent="0.25">
      <c r="A576" t="s">
        <v>627</v>
      </c>
      <c r="B576">
        <v>0</v>
      </c>
      <c r="E576" t="s">
        <v>43</v>
      </c>
      <c r="I576" s="1">
        <v>0</v>
      </c>
      <c r="J576" s="1"/>
      <c r="K576" s="1"/>
      <c r="L576" s="1" t="s">
        <v>43</v>
      </c>
      <c r="M576" s="1" t="b">
        <v>0</v>
      </c>
      <c r="N576" s="1"/>
      <c r="O576">
        <v>1</v>
      </c>
      <c r="P576">
        <v>1</v>
      </c>
      <c r="Q576">
        <v>0</v>
      </c>
      <c r="R576" s="1">
        <f t="shared" si="122"/>
        <v>1</v>
      </c>
      <c r="S576" s="1">
        <f t="shared" si="123"/>
        <v>0</v>
      </c>
      <c r="T576" s="1">
        <f t="shared" si="124"/>
        <v>1</v>
      </c>
      <c r="U576" s="1">
        <f t="shared" si="125"/>
        <v>1</v>
      </c>
      <c r="V576" s="1">
        <f t="shared" si="126"/>
        <v>3</v>
      </c>
      <c r="W576" s="1" t="str">
        <f t="shared" si="127"/>
        <v>SacB</v>
      </c>
      <c r="X576" t="s">
        <v>149</v>
      </c>
      <c r="Y576" t="s">
        <v>149</v>
      </c>
      <c r="Z576" t="s">
        <v>261</v>
      </c>
      <c r="AA576" t="s">
        <v>262</v>
      </c>
      <c r="AB576">
        <v>1</v>
      </c>
      <c r="AJ576">
        <f t="shared" si="128"/>
        <v>100</v>
      </c>
      <c r="AK576">
        <f t="shared" si="129"/>
        <v>0</v>
      </c>
      <c r="AL576">
        <f t="shared" si="130"/>
        <v>3</v>
      </c>
      <c r="AM576">
        <f t="shared" si="120"/>
        <v>0</v>
      </c>
      <c r="AN576">
        <f t="shared" si="131"/>
        <v>3</v>
      </c>
      <c r="AO576">
        <f t="shared" si="132"/>
        <v>0</v>
      </c>
      <c r="AP576">
        <f t="shared" si="133"/>
        <v>0</v>
      </c>
      <c r="AQ576">
        <f t="shared" si="121"/>
        <v>0</v>
      </c>
      <c r="AR576">
        <f t="shared" si="134"/>
        <v>0</v>
      </c>
    </row>
    <row r="577" spans="1:44" x14ac:dyDescent="0.25">
      <c r="A577" t="s">
        <v>628</v>
      </c>
      <c r="B577">
        <v>0</v>
      </c>
      <c r="C577" t="s">
        <v>6</v>
      </c>
      <c r="D577" t="s">
        <v>7</v>
      </c>
      <c r="G577" t="s">
        <v>2</v>
      </c>
      <c r="H577" t="s">
        <v>3</v>
      </c>
      <c r="I577" s="1">
        <v>0</v>
      </c>
      <c r="J577" s="1" t="s">
        <v>6</v>
      </c>
      <c r="K577" s="1" t="s">
        <v>7</v>
      </c>
      <c r="L577" s="1"/>
      <c r="M577" s="1" t="b">
        <v>0</v>
      </c>
      <c r="N577" s="1"/>
      <c r="O577">
        <v>0</v>
      </c>
      <c r="P577">
        <v>1</v>
      </c>
      <c r="Q577">
        <v>6</v>
      </c>
      <c r="R577" s="1">
        <f t="shared" si="122"/>
        <v>0</v>
      </c>
      <c r="S577" s="1">
        <f t="shared" si="123"/>
        <v>0</v>
      </c>
      <c r="T577" s="1">
        <f t="shared" si="124"/>
        <v>1</v>
      </c>
      <c r="U577" s="1">
        <f t="shared" si="125"/>
        <v>1</v>
      </c>
      <c r="V577" s="1">
        <f t="shared" si="126"/>
        <v>4</v>
      </c>
      <c r="W577" s="1" t="str">
        <f t="shared" si="127"/>
        <v>SacB</v>
      </c>
      <c r="X577" t="s">
        <v>149</v>
      </c>
      <c r="Y577" t="s">
        <v>149</v>
      </c>
      <c r="Z577" t="s">
        <v>261</v>
      </c>
      <c r="AA577" t="s">
        <v>262</v>
      </c>
      <c r="AB577">
        <v>1</v>
      </c>
      <c r="AJ577">
        <f t="shared" si="128"/>
        <v>11</v>
      </c>
      <c r="AK577">
        <f t="shared" si="129"/>
        <v>110</v>
      </c>
      <c r="AL577">
        <f t="shared" si="130"/>
        <v>4</v>
      </c>
      <c r="AM577">
        <f t="shared" si="120"/>
        <v>6</v>
      </c>
      <c r="AN577">
        <f t="shared" si="131"/>
        <v>4</v>
      </c>
      <c r="AO577">
        <f t="shared" si="132"/>
        <v>6</v>
      </c>
      <c r="AP577">
        <f t="shared" si="133"/>
        <v>0</v>
      </c>
      <c r="AQ577">
        <f t="shared" si="121"/>
        <v>0</v>
      </c>
      <c r="AR577">
        <f t="shared" si="134"/>
        <v>0</v>
      </c>
    </row>
    <row r="578" spans="1:44" x14ac:dyDescent="0.25">
      <c r="A578" t="s">
        <v>629</v>
      </c>
      <c r="B578">
        <v>0</v>
      </c>
      <c r="C578" t="s">
        <v>6</v>
      </c>
      <c r="E578" t="s">
        <v>43</v>
      </c>
      <c r="G578" t="s">
        <v>2</v>
      </c>
      <c r="I578" s="1">
        <v>0</v>
      </c>
      <c r="J578" s="1" t="s">
        <v>6</v>
      </c>
      <c r="K578" s="1"/>
      <c r="L578" s="1" t="s">
        <v>43</v>
      </c>
      <c r="M578" s="1" t="b">
        <v>0</v>
      </c>
      <c r="N578" s="1"/>
      <c r="O578">
        <v>1</v>
      </c>
      <c r="P578">
        <v>1</v>
      </c>
      <c r="Q578">
        <v>2</v>
      </c>
      <c r="R578" s="1">
        <f t="shared" si="122"/>
        <v>1</v>
      </c>
      <c r="S578" s="1">
        <f t="shared" si="123"/>
        <v>0</v>
      </c>
      <c r="T578" s="1">
        <f t="shared" si="124"/>
        <v>1</v>
      </c>
      <c r="U578" s="1">
        <f t="shared" si="125"/>
        <v>1</v>
      </c>
      <c r="V578" s="1">
        <f t="shared" si="126"/>
        <v>5</v>
      </c>
      <c r="W578" s="1" t="str">
        <f t="shared" si="127"/>
        <v>SacB</v>
      </c>
      <c r="X578" t="s">
        <v>149</v>
      </c>
      <c r="Y578" t="s">
        <v>149</v>
      </c>
      <c r="Z578" t="s">
        <v>261</v>
      </c>
      <c r="AA578" t="s">
        <v>262</v>
      </c>
      <c r="AB578">
        <v>1</v>
      </c>
      <c r="AJ578">
        <f t="shared" si="128"/>
        <v>101</v>
      </c>
      <c r="AK578">
        <f t="shared" si="129"/>
        <v>10</v>
      </c>
      <c r="AL578">
        <f t="shared" si="130"/>
        <v>5</v>
      </c>
      <c r="AM578">
        <f t="shared" si="120"/>
        <v>2</v>
      </c>
      <c r="AN578">
        <f t="shared" si="131"/>
        <v>5</v>
      </c>
      <c r="AO578">
        <f t="shared" si="132"/>
        <v>2</v>
      </c>
      <c r="AP578">
        <f t="shared" si="133"/>
        <v>0</v>
      </c>
      <c r="AQ578">
        <f t="shared" si="121"/>
        <v>0</v>
      </c>
      <c r="AR578">
        <f t="shared" si="134"/>
        <v>0</v>
      </c>
    </row>
    <row r="579" spans="1:44" x14ac:dyDescent="0.25">
      <c r="A579" t="s">
        <v>630</v>
      </c>
      <c r="B579">
        <v>0</v>
      </c>
      <c r="D579" t="s">
        <v>7</v>
      </c>
      <c r="E579" t="s">
        <v>43</v>
      </c>
      <c r="H579" t="s">
        <v>3</v>
      </c>
      <c r="I579" s="1">
        <v>0</v>
      </c>
      <c r="J579" s="1"/>
      <c r="K579" s="1" t="s">
        <v>7</v>
      </c>
      <c r="L579" s="1" t="s">
        <v>43</v>
      </c>
      <c r="M579" s="1" t="b">
        <v>0</v>
      </c>
      <c r="N579" s="1"/>
      <c r="O579">
        <v>1</v>
      </c>
      <c r="P579">
        <v>1</v>
      </c>
      <c r="Q579">
        <v>3</v>
      </c>
      <c r="R579" s="1">
        <f t="shared" si="122"/>
        <v>1</v>
      </c>
      <c r="S579" s="1">
        <f t="shared" si="123"/>
        <v>0</v>
      </c>
      <c r="T579" s="1">
        <f t="shared" si="124"/>
        <v>1</v>
      </c>
      <c r="U579" s="1">
        <f t="shared" si="125"/>
        <v>1</v>
      </c>
      <c r="V579" s="1">
        <f t="shared" si="126"/>
        <v>6</v>
      </c>
      <c r="W579" s="1" t="str">
        <f t="shared" si="127"/>
        <v>SacB</v>
      </c>
      <c r="X579" t="s">
        <v>149</v>
      </c>
      <c r="Y579" t="s">
        <v>149</v>
      </c>
      <c r="Z579" t="s">
        <v>261</v>
      </c>
      <c r="AA579" t="s">
        <v>262</v>
      </c>
      <c r="AB579">
        <v>1</v>
      </c>
      <c r="AJ579">
        <f t="shared" si="128"/>
        <v>110</v>
      </c>
      <c r="AK579">
        <f t="shared" si="129"/>
        <v>100</v>
      </c>
      <c r="AL579">
        <f t="shared" si="130"/>
        <v>6</v>
      </c>
      <c r="AM579">
        <f t="shared" ref="AM579:AM610" si="135">INDEX($AU$3:$AU$10,MATCH(AK579,$AT$3:$AT$10,0))</f>
        <v>3</v>
      </c>
      <c r="AN579">
        <f t="shared" si="131"/>
        <v>6</v>
      </c>
      <c r="AO579">
        <f t="shared" si="132"/>
        <v>3</v>
      </c>
      <c r="AP579">
        <f t="shared" si="133"/>
        <v>0</v>
      </c>
      <c r="AQ579">
        <f t="shared" ref="AQ579:AQ610" si="136">N(AM579&lt;&gt;AO579)</f>
        <v>0</v>
      </c>
      <c r="AR579">
        <f t="shared" si="134"/>
        <v>0</v>
      </c>
    </row>
    <row r="580" spans="1:44" x14ac:dyDescent="0.25">
      <c r="A580" t="s">
        <v>631</v>
      </c>
      <c r="B580">
        <v>0</v>
      </c>
      <c r="C580" t="s">
        <v>6</v>
      </c>
      <c r="D580" t="s">
        <v>7</v>
      </c>
      <c r="E580" t="s">
        <v>43</v>
      </c>
      <c r="G580" t="s">
        <v>2</v>
      </c>
      <c r="H580" t="s">
        <v>3</v>
      </c>
      <c r="I580" s="1">
        <v>0</v>
      </c>
      <c r="J580" s="1" t="s">
        <v>6</v>
      </c>
      <c r="K580" s="1" t="s">
        <v>7</v>
      </c>
      <c r="L580" s="1" t="s">
        <v>43</v>
      </c>
      <c r="M580" s="1" t="b">
        <v>0</v>
      </c>
      <c r="N580" s="1"/>
      <c r="O580">
        <v>1</v>
      </c>
      <c r="P580">
        <v>1</v>
      </c>
      <c r="Q580">
        <v>6</v>
      </c>
      <c r="R580" s="1">
        <f t="shared" ref="R580:R610" si="137">COUNTIF(B580:E580,"b4")</f>
        <v>1</v>
      </c>
      <c r="S580" s="1">
        <f t="shared" ref="S580:S610" si="138">VALUE(LEFT(A580,1))</f>
        <v>0</v>
      </c>
      <c r="T580" s="1">
        <f t="shared" ref="T580:T610" si="139">COUNTIF(B580:E580,0)</f>
        <v>1</v>
      </c>
      <c r="U580" s="1">
        <f t="shared" ref="U580:U610" si="140">S580+T580</f>
        <v>1</v>
      </c>
      <c r="V580" s="1">
        <f t="shared" ref="V580:V610" si="141">VALUE(_xlfn.TEXTBEFORE(_xlfn.TEXTAFTER(A580,"_"),"_"))</f>
        <v>7</v>
      </c>
      <c r="W580" s="1" t="str">
        <f t="shared" ref="W580:W610" si="142">_xlfn.TEXTAFTER(A580,"_",-1)</f>
        <v>SacB</v>
      </c>
      <c r="X580" t="s">
        <v>149</v>
      </c>
      <c r="Y580" t="s">
        <v>149</v>
      </c>
      <c r="Z580" t="s">
        <v>261</v>
      </c>
      <c r="AA580" t="s">
        <v>262</v>
      </c>
      <c r="AB580">
        <v>1</v>
      </c>
      <c r="AJ580">
        <f t="shared" ref="AJ580:AJ610" si="143">VALUE(IF(E580&lt;&gt;"","1","0")&amp;IF(D580&lt;&gt;"","1","0")&amp;IF(C580&lt;&gt;"","1","0"))</f>
        <v>111</v>
      </c>
      <c r="AK580">
        <f t="shared" ref="AK580:AK610" si="144">VALUE(IF(H580&lt;&gt;"","1","0")&amp;IF(G580&lt;&gt;"","1","0")&amp;IF(F580&lt;&gt;"","1","0"))</f>
        <v>110</v>
      </c>
      <c r="AL580">
        <f t="shared" ref="AL580:AL610" si="145">INDEX($AU$3:$AU$10,MATCH(AJ580,$AT$3:$AT$10,0))</f>
        <v>7</v>
      </c>
      <c r="AM580">
        <f t="shared" si="135"/>
        <v>6</v>
      </c>
      <c r="AN580">
        <f t="shared" ref="AN580:AN610" si="146">VALUE(_xlfn.TEXTBEFORE(_xlfn.TEXTAFTER(A580,"_"),"_"))</f>
        <v>7</v>
      </c>
      <c r="AO580">
        <f t="shared" ref="AO580:AO610" si="147">Q580</f>
        <v>6</v>
      </c>
      <c r="AP580">
        <f t="shared" ref="AP580:AP610" si="148">N(AL580&lt;&gt;AN580)</f>
        <v>0</v>
      </c>
      <c r="AQ580">
        <f t="shared" si="136"/>
        <v>0</v>
      </c>
      <c r="AR580">
        <f t="shared" ref="AR580:AR610" si="149">N(OR(AP580,AQ580))</f>
        <v>0</v>
      </c>
    </row>
    <row r="581" spans="1:44" x14ac:dyDescent="0.25">
      <c r="A581" t="s">
        <v>632</v>
      </c>
      <c r="B581">
        <v>0</v>
      </c>
      <c r="C581" t="s">
        <v>6</v>
      </c>
      <c r="G581" t="s">
        <v>2</v>
      </c>
      <c r="I581" s="1">
        <v>0</v>
      </c>
      <c r="J581" s="1" t="s">
        <v>6</v>
      </c>
      <c r="K581" s="1"/>
      <c r="L581" s="1"/>
      <c r="M581" s="1" t="b">
        <v>0</v>
      </c>
      <c r="N581" s="1"/>
      <c r="O581">
        <v>0</v>
      </c>
      <c r="P581">
        <v>2</v>
      </c>
      <c r="Q581">
        <v>2</v>
      </c>
      <c r="R581" s="1">
        <f t="shared" si="137"/>
        <v>0</v>
      </c>
      <c r="S581" s="1">
        <f t="shared" si="138"/>
        <v>1</v>
      </c>
      <c r="T581" s="1">
        <f t="shared" si="139"/>
        <v>1</v>
      </c>
      <c r="U581" s="1">
        <f t="shared" si="140"/>
        <v>2</v>
      </c>
      <c r="V581" s="1">
        <f t="shared" si="141"/>
        <v>1</v>
      </c>
      <c r="W581" s="1" t="str">
        <f t="shared" si="142"/>
        <v>SacB</v>
      </c>
      <c r="X581" t="s">
        <v>149</v>
      </c>
      <c r="Y581" t="s">
        <v>149</v>
      </c>
      <c r="Z581" t="s">
        <v>261</v>
      </c>
      <c r="AA581" t="s">
        <v>262</v>
      </c>
      <c r="AB581">
        <v>1</v>
      </c>
      <c r="AJ581">
        <f t="shared" si="143"/>
        <v>1</v>
      </c>
      <c r="AK581">
        <f t="shared" si="144"/>
        <v>10</v>
      </c>
      <c r="AL581">
        <f t="shared" si="145"/>
        <v>1</v>
      </c>
      <c r="AM581">
        <f t="shared" si="135"/>
        <v>2</v>
      </c>
      <c r="AN581">
        <f t="shared" si="146"/>
        <v>1</v>
      </c>
      <c r="AO581">
        <f t="shared" si="147"/>
        <v>2</v>
      </c>
      <c r="AP581">
        <f t="shared" si="148"/>
        <v>0</v>
      </c>
      <c r="AQ581">
        <f t="shared" si="136"/>
        <v>0</v>
      </c>
      <c r="AR581">
        <f t="shared" si="149"/>
        <v>0</v>
      </c>
    </row>
    <row r="582" spans="1:44" x14ac:dyDescent="0.25">
      <c r="A582" t="s">
        <v>633</v>
      </c>
      <c r="B582">
        <v>0</v>
      </c>
      <c r="D582" t="s">
        <v>7</v>
      </c>
      <c r="H582" t="s">
        <v>3</v>
      </c>
      <c r="I582" s="1">
        <v>0</v>
      </c>
      <c r="J582" s="1"/>
      <c r="K582" s="1" t="s">
        <v>7</v>
      </c>
      <c r="L582" s="1"/>
      <c r="M582" s="1" t="b">
        <v>0</v>
      </c>
      <c r="N582" s="1"/>
      <c r="O582">
        <v>0</v>
      </c>
      <c r="P582">
        <v>2</v>
      </c>
      <c r="Q582">
        <v>3</v>
      </c>
      <c r="R582" s="1">
        <f t="shared" si="137"/>
        <v>0</v>
      </c>
      <c r="S582" s="1">
        <f t="shared" si="138"/>
        <v>1</v>
      </c>
      <c r="T582" s="1">
        <f t="shared" si="139"/>
        <v>1</v>
      </c>
      <c r="U582" s="1">
        <f t="shared" si="140"/>
        <v>2</v>
      </c>
      <c r="V582" s="1">
        <f t="shared" si="141"/>
        <v>2</v>
      </c>
      <c r="W582" s="1" t="str">
        <f t="shared" si="142"/>
        <v>SacB</v>
      </c>
      <c r="X582" t="s">
        <v>149</v>
      </c>
      <c r="Y582" t="s">
        <v>149</v>
      </c>
      <c r="Z582" t="s">
        <v>261</v>
      </c>
      <c r="AA582" t="s">
        <v>262</v>
      </c>
      <c r="AB582">
        <v>1</v>
      </c>
      <c r="AJ582">
        <f t="shared" si="143"/>
        <v>10</v>
      </c>
      <c r="AK582">
        <f t="shared" si="144"/>
        <v>100</v>
      </c>
      <c r="AL582">
        <f t="shared" si="145"/>
        <v>2</v>
      </c>
      <c r="AM582">
        <f t="shared" si="135"/>
        <v>3</v>
      </c>
      <c r="AN582">
        <f t="shared" si="146"/>
        <v>2</v>
      </c>
      <c r="AO582">
        <f t="shared" si="147"/>
        <v>3</v>
      </c>
      <c r="AP582">
        <f t="shared" si="148"/>
        <v>0</v>
      </c>
      <c r="AQ582">
        <f t="shared" si="136"/>
        <v>0</v>
      </c>
      <c r="AR582">
        <f t="shared" si="149"/>
        <v>0</v>
      </c>
    </row>
    <row r="583" spans="1:44" x14ac:dyDescent="0.25">
      <c r="A583" t="s">
        <v>634</v>
      </c>
      <c r="B583">
        <v>0</v>
      </c>
      <c r="E583" t="s">
        <v>43</v>
      </c>
      <c r="I583" s="1">
        <v>0</v>
      </c>
      <c r="J583" s="1"/>
      <c r="K583" s="1"/>
      <c r="L583" s="1" t="s">
        <v>43</v>
      </c>
      <c r="M583" s="1" t="b">
        <v>0</v>
      </c>
      <c r="N583" s="1"/>
      <c r="O583">
        <v>1</v>
      </c>
      <c r="P583">
        <v>2</v>
      </c>
      <c r="Q583">
        <v>0</v>
      </c>
      <c r="R583" s="1">
        <f t="shared" si="137"/>
        <v>1</v>
      </c>
      <c r="S583" s="1">
        <f t="shared" si="138"/>
        <v>1</v>
      </c>
      <c r="T583" s="1">
        <f t="shared" si="139"/>
        <v>1</v>
      </c>
      <c r="U583" s="1">
        <f t="shared" si="140"/>
        <v>2</v>
      </c>
      <c r="V583" s="1">
        <f t="shared" si="141"/>
        <v>3</v>
      </c>
      <c r="W583" s="1" t="str">
        <f t="shared" si="142"/>
        <v>SacB</v>
      </c>
      <c r="X583" t="s">
        <v>149</v>
      </c>
      <c r="Y583" t="s">
        <v>149</v>
      </c>
      <c r="Z583" t="s">
        <v>261</v>
      </c>
      <c r="AA583" t="s">
        <v>262</v>
      </c>
      <c r="AB583">
        <v>1</v>
      </c>
      <c r="AJ583">
        <f t="shared" si="143"/>
        <v>100</v>
      </c>
      <c r="AK583">
        <f t="shared" si="144"/>
        <v>0</v>
      </c>
      <c r="AL583">
        <f t="shared" si="145"/>
        <v>3</v>
      </c>
      <c r="AM583">
        <f t="shared" si="135"/>
        <v>0</v>
      </c>
      <c r="AN583">
        <f t="shared" si="146"/>
        <v>3</v>
      </c>
      <c r="AO583">
        <f t="shared" si="147"/>
        <v>0</v>
      </c>
      <c r="AP583">
        <f t="shared" si="148"/>
        <v>0</v>
      </c>
      <c r="AQ583">
        <f t="shared" si="136"/>
        <v>0</v>
      </c>
      <c r="AR583">
        <f t="shared" si="149"/>
        <v>0</v>
      </c>
    </row>
    <row r="584" spans="1:44" x14ac:dyDescent="0.25">
      <c r="A584" t="s">
        <v>635</v>
      </c>
      <c r="B584">
        <v>0</v>
      </c>
      <c r="C584" t="s">
        <v>6</v>
      </c>
      <c r="D584" t="s">
        <v>7</v>
      </c>
      <c r="G584" t="s">
        <v>2</v>
      </c>
      <c r="H584" t="s">
        <v>3</v>
      </c>
      <c r="I584" s="1">
        <v>0</v>
      </c>
      <c r="J584" s="1" t="s">
        <v>6</v>
      </c>
      <c r="K584" s="1" t="s">
        <v>7</v>
      </c>
      <c r="L584" s="1"/>
      <c r="M584" s="1" t="b">
        <v>0</v>
      </c>
      <c r="N584" s="1"/>
      <c r="O584">
        <v>0</v>
      </c>
      <c r="P584">
        <v>2</v>
      </c>
      <c r="Q584">
        <v>6</v>
      </c>
      <c r="R584" s="1">
        <f t="shared" si="137"/>
        <v>0</v>
      </c>
      <c r="S584" s="1">
        <f t="shared" si="138"/>
        <v>1</v>
      </c>
      <c r="T584" s="1">
        <f t="shared" si="139"/>
        <v>1</v>
      </c>
      <c r="U584" s="1">
        <f t="shared" si="140"/>
        <v>2</v>
      </c>
      <c r="V584" s="1">
        <f t="shared" si="141"/>
        <v>4</v>
      </c>
      <c r="W584" s="1" t="str">
        <f t="shared" si="142"/>
        <v>SacB</v>
      </c>
      <c r="X584" t="s">
        <v>149</v>
      </c>
      <c r="Y584" t="s">
        <v>149</v>
      </c>
      <c r="Z584" t="s">
        <v>261</v>
      </c>
      <c r="AA584" t="s">
        <v>262</v>
      </c>
      <c r="AB584">
        <v>1</v>
      </c>
      <c r="AJ584">
        <f t="shared" si="143"/>
        <v>11</v>
      </c>
      <c r="AK584">
        <f t="shared" si="144"/>
        <v>110</v>
      </c>
      <c r="AL584">
        <f t="shared" si="145"/>
        <v>4</v>
      </c>
      <c r="AM584">
        <f t="shared" si="135"/>
        <v>6</v>
      </c>
      <c r="AN584">
        <f t="shared" si="146"/>
        <v>4</v>
      </c>
      <c r="AO584">
        <f t="shared" si="147"/>
        <v>6</v>
      </c>
      <c r="AP584">
        <f t="shared" si="148"/>
        <v>0</v>
      </c>
      <c r="AQ584">
        <f t="shared" si="136"/>
        <v>0</v>
      </c>
      <c r="AR584">
        <f t="shared" si="149"/>
        <v>0</v>
      </c>
    </row>
    <row r="585" spans="1:44" x14ac:dyDescent="0.25">
      <c r="A585" t="s">
        <v>636</v>
      </c>
      <c r="B585">
        <v>0</v>
      </c>
      <c r="C585" t="s">
        <v>6</v>
      </c>
      <c r="E585" t="s">
        <v>43</v>
      </c>
      <c r="G585" t="s">
        <v>2</v>
      </c>
      <c r="I585" s="1">
        <v>0</v>
      </c>
      <c r="J585" s="1" t="s">
        <v>6</v>
      </c>
      <c r="K585" s="1"/>
      <c r="L585" s="1" t="s">
        <v>43</v>
      </c>
      <c r="M585" s="1" t="b">
        <v>0</v>
      </c>
      <c r="N585" s="1"/>
      <c r="O585">
        <v>1</v>
      </c>
      <c r="P585">
        <v>2</v>
      </c>
      <c r="Q585">
        <v>2</v>
      </c>
      <c r="R585" s="1">
        <f t="shared" si="137"/>
        <v>1</v>
      </c>
      <c r="S585" s="1">
        <f t="shared" si="138"/>
        <v>1</v>
      </c>
      <c r="T585" s="1">
        <f t="shared" si="139"/>
        <v>1</v>
      </c>
      <c r="U585" s="1">
        <f t="shared" si="140"/>
        <v>2</v>
      </c>
      <c r="V585" s="1">
        <f t="shared" si="141"/>
        <v>5</v>
      </c>
      <c r="W585" s="1" t="str">
        <f t="shared" si="142"/>
        <v>SacB</v>
      </c>
      <c r="X585" t="s">
        <v>149</v>
      </c>
      <c r="Y585" t="s">
        <v>149</v>
      </c>
      <c r="Z585" t="s">
        <v>261</v>
      </c>
      <c r="AA585" t="s">
        <v>262</v>
      </c>
      <c r="AB585">
        <v>1</v>
      </c>
      <c r="AJ585">
        <f t="shared" si="143"/>
        <v>101</v>
      </c>
      <c r="AK585">
        <f t="shared" si="144"/>
        <v>10</v>
      </c>
      <c r="AL585">
        <f t="shared" si="145"/>
        <v>5</v>
      </c>
      <c r="AM585">
        <f t="shared" si="135"/>
        <v>2</v>
      </c>
      <c r="AN585">
        <f t="shared" si="146"/>
        <v>5</v>
      </c>
      <c r="AO585">
        <f t="shared" si="147"/>
        <v>2</v>
      </c>
      <c r="AP585">
        <f t="shared" si="148"/>
        <v>0</v>
      </c>
      <c r="AQ585">
        <f t="shared" si="136"/>
        <v>0</v>
      </c>
      <c r="AR585">
        <f t="shared" si="149"/>
        <v>0</v>
      </c>
    </row>
    <row r="586" spans="1:44" x14ac:dyDescent="0.25">
      <c r="A586" t="s">
        <v>637</v>
      </c>
      <c r="B586">
        <v>0</v>
      </c>
      <c r="D586" t="s">
        <v>7</v>
      </c>
      <c r="E586" t="s">
        <v>43</v>
      </c>
      <c r="H586" t="s">
        <v>3</v>
      </c>
      <c r="I586" s="1">
        <v>0</v>
      </c>
      <c r="J586" s="1"/>
      <c r="K586" s="1" t="s">
        <v>7</v>
      </c>
      <c r="L586" s="1" t="s">
        <v>43</v>
      </c>
      <c r="M586" s="1" t="b">
        <v>0</v>
      </c>
      <c r="N586" s="1"/>
      <c r="O586">
        <v>1</v>
      </c>
      <c r="P586">
        <v>2</v>
      </c>
      <c r="Q586">
        <v>3</v>
      </c>
      <c r="R586" s="1">
        <f t="shared" si="137"/>
        <v>1</v>
      </c>
      <c r="S586" s="1">
        <f t="shared" si="138"/>
        <v>1</v>
      </c>
      <c r="T586" s="1">
        <f t="shared" si="139"/>
        <v>1</v>
      </c>
      <c r="U586" s="1">
        <f t="shared" si="140"/>
        <v>2</v>
      </c>
      <c r="V586" s="1">
        <f t="shared" si="141"/>
        <v>6</v>
      </c>
      <c r="W586" s="1" t="str">
        <f t="shared" si="142"/>
        <v>SacB</v>
      </c>
      <c r="X586" t="s">
        <v>149</v>
      </c>
      <c r="Y586" t="s">
        <v>149</v>
      </c>
      <c r="Z586" t="s">
        <v>261</v>
      </c>
      <c r="AA586" t="s">
        <v>262</v>
      </c>
      <c r="AB586">
        <v>1</v>
      </c>
      <c r="AJ586">
        <f t="shared" si="143"/>
        <v>110</v>
      </c>
      <c r="AK586">
        <f t="shared" si="144"/>
        <v>100</v>
      </c>
      <c r="AL586">
        <f t="shared" si="145"/>
        <v>6</v>
      </c>
      <c r="AM586">
        <f t="shared" si="135"/>
        <v>3</v>
      </c>
      <c r="AN586">
        <f t="shared" si="146"/>
        <v>6</v>
      </c>
      <c r="AO586">
        <f t="shared" si="147"/>
        <v>3</v>
      </c>
      <c r="AP586">
        <f t="shared" si="148"/>
        <v>0</v>
      </c>
      <c r="AQ586">
        <f t="shared" si="136"/>
        <v>0</v>
      </c>
      <c r="AR586">
        <f t="shared" si="149"/>
        <v>0</v>
      </c>
    </row>
    <row r="587" spans="1:44" x14ac:dyDescent="0.25">
      <c r="A587" t="s">
        <v>638</v>
      </c>
      <c r="B587">
        <v>0</v>
      </c>
      <c r="C587" t="s">
        <v>6</v>
      </c>
      <c r="D587" t="s">
        <v>7</v>
      </c>
      <c r="E587" t="s">
        <v>43</v>
      </c>
      <c r="G587" t="s">
        <v>2</v>
      </c>
      <c r="H587" t="s">
        <v>3</v>
      </c>
      <c r="I587" s="1">
        <v>0</v>
      </c>
      <c r="J587" s="1" t="s">
        <v>6</v>
      </c>
      <c r="K587" s="1" t="s">
        <v>7</v>
      </c>
      <c r="L587" s="1" t="s">
        <v>43</v>
      </c>
      <c r="M587" s="1" t="b">
        <v>0</v>
      </c>
      <c r="N587" s="1"/>
      <c r="O587">
        <v>1</v>
      </c>
      <c r="P587">
        <v>2</v>
      </c>
      <c r="Q587">
        <v>6</v>
      </c>
      <c r="R587" s="1">
        <f t="shared" si="137"/>
        <v>1</v>
      </c>
      <c r="S587" s="1">
        <f t="shared" si="138"/>
        <v>1</v>
      </c>
      <c r="T587" s="1">
        <f t="shared" si="139"/>
        <v>1</v>
      </c>
      <c r="U587" s="1">
        <f t="shared" si="140"/>
        <v>2</v>
      </c>
      <c r="V587" s="1">
        <f t="shared" si="141"/>
        <v>7</v>
      </c>
      <c r="W587" s="1" t="str">
        <f t="shared" si="142"/>
        <v>SacB</v>
      </c>
      <c r="X587" t="s">
        <v>149</v>
      </c>
      <c r="Y587" t="s">
        <v>149</v>
      </c>
      <c r="Z587" t="s">
        <v>261</v>
      </c>
      <c r="AA587" t="s">
        <v>262</v>
      </c>
      <c r="AB587">
        <v>1</v>
      </c>
      <c r="AJ587">
        <f t="shared" si="143"/>
        <v>111</v>
      </c>
      <c r="AK587">
        <f t="shared" si="144"/>
        <v>110</v>
      </c>
      <c r="AL587">
        <f t="shared" si="145"/>
        <v>7</v>
      </c>
      <c r="AM587">
        <f t="shared" si="135"/>
        <v>6</v>
      </c>
      <c r="AN587">
        <f t="shared" si="146"/>
        <v>7</v>
      </c>
      <c r="AO587">
        <f t="shared" si="147"/>
        <v>6</v>
      </c>
      <c r="AP587">
        <f t="shared" si="148"/>
        <v>0</v>
      </c>
      <c r="AQ587">
        <f t="shared" si="136"/>
        <v>0</v>
      </c>
      <c r="AR587">
        <f t="shared" si="149"/>
        <v>0</v>
      </c>
    </row>
    <row r="588" spans="1:44" x14ac:dyDescent="0.25">
      <c r="A588" t="s">
        <v>639</v>
      </c>
      <c r="B588">
        <v>0</v>
      </c>
      <c r="C588">
        <v>0</v>
      </c>
      <c r="I588" s="1">
        <v>0</v>
      </c>
      <c r="J588" s="1">
        <v>0</v>
      </c>
      <c r="K588" s="1"/>
      <c r="L588" s="1" t="s">
        <v>7</v>
      </c>
      <c r="M588" s="1" t="b">
        <v>0</v>
      </c>
      <c r="N588" s="1"/>
      <c r="O588">
        <v>0</v>
      </c>
      <c r="P588">
        <v>3</v>
      </c>
      <c r="Q588">
        <v>0</v>
      </c>
      <c r="R588" s="1">
        <f t="shared" si="137"/>
        <v>0</v>
      </c>
      <c r="S588" s="1">
        <f t="shared" si="138"/>
        <v>1</v>
      </c>
      <c r="T588" s="1">
        <f t="shared" si="139"/>
        <v>2</v>
      </c>
      <c r="U588" s="1">
        <f t="shared" si="140"/>
        <v>3</v>
      </c>
      <c r="V588" s="1">
        <f t="shared" si="141"/>
        <v>5</v>
      </c>
      <c r="W588" s="1" t="str">
        <f t="shared" si="142"/>
        <v>DP</v>
      </c>
      <c r="X588" t="s">
        <v>39</v>
      </c>
      <c r="Y588" t="s">
        <v>149</v>
      </c>
      <c r="AB588" t="s">
        <v>263</v>
      </c>
      <c r="AC588" t="s">
        <v>263</v>
      </c>
      <c r="AD588" t="s">
        <v>263</v>
      </c>
      <c r="AE588" t="s">
        <v>263</v>
      </c>
      <c r="AF588" t="s">
        <v>263</v>
      </c>
      <c r="AG588" t="s">
        <v>263</v>
      </c>
      <c r="AH588" t="s">
        <v>263</v>
      </c>
      <c r="AJ588">
        <f t="shared" si="143"/>
        <v>1</v>
      </c>
      <c r="AK588">
        <f t="shared" si="144"/>
        <v>0</v>
      </c>
      <c r="AL588">
        <f t="shared" si="145"/>
        <v>1</v>
      </c>
      <c r="AM588">
        <f t="shared" si="135"/>
        <v>0</v>
      </c>
      <c r="AN588">
        <f t="shared" si="146"/>
        <v>5</v>
      </c>
      <c r="AO588">
        <f t="shared" si="147"/>
        <v>0</v>
      </c>
      <c r="AP588">
        <f t="shared" si="148"/>
        <v>1</v>
      </c>
      <c r="AQ588">
        <f t="shared" si="136"/>
        <v>0</v>
      </c>
      <c r="AR588">
        <f t="shared" si="149"/>
        <v>1</v>
      </c>
    </row>
    <row r="589" spans="1:44" x14ac:dyDescent="0.25">
      <c r="A589" t="s">
        <v>640</v>
      </c>
      <c r="B589">
        <v>0</v>
      </c>
      <c r="C589">
        <v>0</v>
      </c>
      <c r="E589" t="s">
        <v>7</v>
      </c>
      <c r="H589" t="s">
        <v>4</v>
      </c>
      <c r="I589" s="1">
        <v>0</v>
      </c>
      <c r="J589" s="1">
        <v>0</v>
      </c>
      <c r="K589" s="1"/>
      <c r="L589" s="1" t="s">
        <v>7</v>
      </c>
      <c r="M589" s="1" t="b">
        <v>0</v>
      </c>
      <c r="N589" s="1"/>
      <c r="O589">
        <v>0</v>
      </c>
      <c r="P589">
        <v>2</v>
      </c>
      <c r="Q589">
        <v>3</v>
      </c>
      <c r="R589" s="1">
        <f t="shared" si="137"/>
        <v>0</v>
      </c>
      <c r="S589" s="1">
        <f t="shared" si="138"/>
        <v>0</v>
      </c>
      <c r="T589" s="1">
        <f t="shared" si="139"/>
        <v>2</v>
      </c>
      <c r="U589" s="1">
        <f t="shared" si="140"/>
        <v>2</v>
      </c>
      <c r="V589" s="1">
        <f t="shared" si="141"/>
        <v>5</v>
      </c>
      <c r="W589" s="1" t="str">
        <f t="shared" si="142"/>
        <v>DP</v>
      </c>
      <c r="X589" t="s">
        <v>39</v>
      </c>
      <c r="Y589" t="s">
        <v>149</v>
      </c>
      <c r="AB589" t="s">
        <v>263</v>
      </c>
      <c r="AC589" t="s">
        <v>263</v>
      </c>
      <c r="AD589" t="s">
        <v>263</v>
      </c>
      <c r="AE589" t="s">
        <v>263</v>
      </c>
      <c r="AF589" t="s">
        <v>263</v>
      </c>
      <c r="AG589" t="s">
        <v>263</v>
      </c>
      <c r="AH589" t="s">
        <v>263</v>
      </c>
      <c r="AJ589">
        <f t="shared" si="143"/>
        <v>101</v>
      </c>
      <c r="AK589">
        <f t="shared" si="144"/>
        <v>100</v>
      </c>
      <c r="AL589">
        <f t="shared" si="145"/>
        <v>5</v>
      </c>
      <c r="AM589">
        <f t="shared" si="135"/>
        <v>3</v>
      </c>
      <c r="AN589">
        <f t="shared" si="146"/>
        <v>5</v>
      </c>
      <c r="AO589">
        <f t="shared" si="147"/>
        <v>3</v>
      </c>
      <c r="AP589">
        <f t="shared" si="148"/>
        <v>0</v>
      </c>
      <c r="AQ589">
        <f t="shared" si="136"/>
        <v>0</v>
      </c>
      <c r="AR589">
        <f t="shared" si="149"/>
        <v>0</v>
      </c>
    </row>
    <row r="590" spans="1:44" x14ac:dyDescent="0.25">
      <c r="A590" t="s">
        <v>641</v>
      </c>
      <c r="B590">
        <v>0</v>
      </c>
      <c r="D590">
        <v>0</v>
      </c>
      <c r="I590" s="1">
        <v>0</v>
      </c>
      <c r="J590" s="1"/>
      <c r="K590" s="1">
        <v>0</v>
      </c>
      <c r="L590" s="1"/>
      <c r="M590" s="1" t="b">
        <v>0</v>
      </c>
      <c r="N590" s="1" t="b">
        <v>1</v>
      </c>
      <c r="O590">
        <v>0</v>
      </c>
      <c r="P590">
        <v>2</v>
      </c>
      <c r="Q590">
        <v>0</v>
      </c>
      <c r="R590" s="1">
        <f t="shared" si="137"/>
        <v>0</v>
      </c>
      <c r="S590" s="1">
        <f t="shared" si="138"/>
        <v>0</v>
      </c>
      <c r="T590" s="1">
        <f t="shared" si="139"/>
        <v>2</v>
      </c>
      <c r="U590" s="1">
        <f t="shared" si="140"/>
        <v>2</v>
      </c>
      <c r="V590" s="1">
        <f t="shared" si="141"/>
        <v>2</v>
      </c>
      <c r="W590" s="1" t="str">
        <f t="shared" si="142"/>
        <v>LODP</v>
      </c>
      <c r="X590" t="s">
        <v>39</v>
      </c>
      <c r="Y590" t="s">
        <v>149</v>
      </c>
      <c r="AB590">
        <v>2</v>
      </c>
      <c r="AJ590">
        <f t="shared" si="143"/>
        <v>10</v>
      </c>
      <c r="AK590">
        <f t="shared" si="144"/>
        <v>0</v>
      </c>
      <c r="AL590">
        <f t="shared" si="145"/>
        <v>2</v>
      </c>
      <c r="AM590">
        <f t="shared" si="135"/>
        <v>0</v>
      </c>
      <c r="AN590">
        <f t="shared" si="146"/>
        <v>2</v>
      </c>
      <c r="AO590">
        <f t="shared" si="147"/>
        <v>0</v>
      </c>
      <c r="AP590">
        <f t="shared" si="148"/>
        <v>0</v>
      </c>
      <c r="AQ590">
        <f t="shared" si="136"/>
        <v>0</v>
      </c>
      <c r="AR590">
        <f t="shared" si="149"/>
        <v>0</v>
      </c>
    </row>
    <row r="591" spans="1:44" x14ac:dyDescent="0.25">
      <c r="A591" t="s">
        <v>642</v>
      </c>
      <c r="B591">
        <v>0</v>
      </c>
      <c r="E591">
        <v>0</v>
      </c>
      <c r="I591" s="1">
        <v>0</v>
      </c>
      <c r="J591" s="1"/>
      <c r="K591" s="1"/>
      <c r="L591" s="1">
        <v>0</v>
      </c>
      <c r="M591" s="1" t="b">
        <v>0</v>
      </c>
      <c r="N591" s="1" t="b">
        <v>1</v>
      </c>
      <c r="O591">
        <v>0</v>
      </c>
      <c r="P591">
        <v>2</v>
      </c>
      <c r="Q591">
        <v>0</v>
      </c>
      <c r="R591" s="1">
        <f t="shared" si="137"/>
        <v>0</v>
      </c>
      <c r="S591" s="1">
        <f t="shared" si="138"/>
        <v>0</v>
      </c>
      <c r="T591" s="1">
        <f t="shared" si="139"/>
        <v>2</v>
      </c>
      <c r="U591" s="1">
        <f t="shared" si="140"/>
        <v>2</v>
      </c>
      <c r="V591" s="1">
        <f t="shared" si="141"/>
        <v>3</v>
      </c>
      <c r="W591" s="1" t="str">
        <f t="shared" si="142"/>
        <v>LODP</v>
      </c>
      <c r="X591" t="s">
        <v>39</v>
      </c>
      <c r="Y591" t="s">
        <v>149</v>
      </c>
      <c r="AB591">
        <v>3</v>
      </c>
      <c r="AJ591">
        <f t="shared" si="143"/>
        <v>100</v>
      </c>
      <c r="AK591">
        <f t="shared" si="144"/>
        <v>0</v>
      </c>
      <c r="AL591">
        <f t="shared" si="145"/>
        <v>3</v>
      </c>
      <c r="AM591">
        <f t="shared" si="135"/>
        <v>0</v>
      </c>
      <c r="AN591">
        <f t="shared" si="146"/>
        <v>3</v>
      </c>
      <c r="AO591">
        <f t="shared" si="147"/>
        <v>0</v>
      </c>
      <c r="AP591">
        <f t="shared" si="148"/>
        <v>0</v>
      </c>
      <c r="AQ591">
        <f t="shared" si="136"/>
        <v>0</v>
      </c>
      <c r="AR591">
        <f t="shared" si="149"/>
        <v>0</v>
      </c>
    </row>
    <row r="592" spans="1:44" x14ac:dyDescent="0.25">
      <c r="A592" t="s">
        <v>643</v>
      </c>
      <c r="B592">
        <v>0</v>
      </c>
      <c r="D592" t="s">
        <v>6</v>
      </c>
      <c r="E592">
        <v>0</v>
      </c>
      <c r="G592" t="s">
        <v>3</v>
      </c>
      <c r="I592" s="1">
        <v>0</v>
      </c>
      <c r="J592" s="1"/>
      <c r="K592" s="1" t="s">
        <v>6</v>
      </c>
      <c r="L592" s="1">
        <v>0</v>
      </c>
      <c r="M592" s="1" t="b">
        <v>0</v>
      </c>
      <c r="N592" s="1" t="b">
        <v>1</v>
      </c>
      <c r="O592">
        <v>0</v>
      </c>
      <c r="P592">
        <v>2</v>
      </c>
      <c r="Q592">
        <v>2</v>
      </c>
      <c r="R592" s="1">
        <f t="shared" si="137"/>
        <v>0</v>
      </c>
      <c r="S592" s="1">
        <f t="shared" si="138"/>
        <v>0</v>
      </c>
      <c r="T592" s="1">
        <f t="shared" si="139"/>
        <v>2</v>
      </c>
      <c r="U592" s="1">
        <f t="shared" si="140"/>
        <v>2</v>
      </c>
      <c r="V592" s="1">
        <f t="shared" si="141"/>
        <v>6</v>
      </c>
      <c r="W592" s="1" t="str">
        <f t="shared" si="142"/>
        <v>LODP</v>
      </c>
      <c r="X592" t="s">
        <v>39</v>
      </c>
      <c r="Y592" t="s">
        <v>149</v>
      </c>
      <c r="AB592">
        <v>3</v>
      </c>
      <c r="AJ592">
        <f t="shared" si="143"/>
        <v>110</v>
      </c>
      <c r="AK592">
        <f t="shared" si="144"/>
        <v>10</v>
      </c>
      <c r="AL592">
        <f t="shared" si="145"/>
        <v>6</v>
      </c>
      <c r="AM592">
        <f t="shared" si="135"/>
        <v>2</v>
      </c>
      <c r="AN592">
        <f t="shared" si="146"/>
        <v>6</v>
      </c>
      <c r="AO592">
        <f t="shared" si="147"/>
        <v>2</v>
      </c>
      <c r="AP592">
        <f t="shared" si="148"/>
        <v>0</v>
      </c>
      <c r="AQ592">
        <f t="shared" si="136"/>
        <v>0</v>
      </c>
      <c r="AR592">
        <f t="shared" si="149"/>
        <v>0</v>
      </c>
    </row>
    <row r="593" spans="1:44" x14ac:dyDescent="0.25">
      <c r="A593" t="s">
        <v>644</v>
      </c>
      <c r="B593">
        <v>0</v>
      </c>
      <c r="D593">
        <v>0</v>
      </c>
      <c r="I593" s="1">
        <v>0</v>
      </c>
      <c r="J593" s="1"/>
      <c r="K593" s="1">
        <v>0</v>
      </c>
      <c r="L593" s="1"/>
      <c r="M593" s="1" t="b">
        <v>0</v>
      </c>
      <c r="N593" s="1" t="b">
        <v>1</v>
      </c>
      <c r="O593">
        <v>0</v>
      </c>
      <c r="P593">
        <v>3</v>
      </c>
      <c r="Q593">
        <v>0</v>
      </c>
      <c r="R593" s="1">
        <f t="shared" si="137"/>
        <v>0</v>
      </c>
      <c r="S593" s="1">
        <f t="shared" si="138"/>
        <v>1</v>
      </c>
      <c r="T593" s="1">
        <f t="shared" si="139"/>
        <v>2</v>
      </c>
      <c r="U593" s="1">
        <f t="shared" si="140"/>
        <v>3</v>
      </c>
      <c r="V593" s="1">
        <f t="shared" si="141"/>
        <v>2</v>
      </c>
      <c r="W593" s="1" t="str">
        <f t="shared" si="142"/>
        <v>LODP</v>
      </c>
      <c r="X593" t="s">
        <v>39</v>
      </c>
      <c r="Y593" t="s">
        <v>149</v>
      </c>
      <c r="AB593">
        <v>2</v>
      </c>
      <c r="AJ593">
        <f t="shared" si="143"/>
        <v>10</v>
      </c>
      <c r="AK593">
        <f t="shared" si="144"/>
        <v>0</v>
      </c>
      <c r="AL593">
        <f t="shared" si="145"/>
        <v>2</v>
      </c>
      <c r="AM593">
        <f t="shared" si="135"/>
        <v>0</v>
      </c>
      <c r="AN593">
        <f t="shared" si="146"/>
        <v>2</v>
      </c>
      <c r="AO593">
        <f t="shared" si="147"/>
        <v>0</v>
      </c>
      <c r="AP593">
        <f t="shared" si="148"/>
        <v>0</v>
      </c>
      <c r="AQ593">
        <f t="shared" si="136"/>
        <v>0</v>
      </c>
      <c r="AR593">
        <f t="shared" si="149"/>
        <v>0</v>
      </c>
    </row>
    <row r="594" spans="1:44" x14ac:dyDescent="0.25">
      <c r="A594" t="s">
        <v>645</v>
      </c>
      <c r="B594">
        <v>0</v>
      </c>
      <c r="E594">
        <v>0</v>
      </c>
      <c r="I594" s="1">
        <v>0</v>
      </c>
      <c r="J594" s="1"/>
      <c r="K594" s="1"/>
      <c r="L594" s="1">
        <v>0</v>
      </c>
      <c r="M594" s="1" t="b">
        <v>0</v>
      </c>
      <c r="N594" s="1" t="b">
        <v>1</v>
      </c>
      <c r="O594">
        <v>0</v>
      </c>
      <c r="P594">
        <v>3</v>
      </c>
      <c r="Q594">
        <v>0</v>
      </c>
      <c r="R594" s="1">
        <f t="shared" si="137"/>
        <v>0</v>
      </c>
      <c r="S594" s="1">
        <f t="shared" si="138"/>
        <v>1</v>
      </c>
      <c r="T594" s="1">
        <f t="shared" si="139"/>
        <v>2</v>
      </c>
      <c r="U594" s="1">
        <f t="shared" si="140"/>
        <v>3</v>
      </c>
      <c r="V594" s="1">
        <f t="shared" si="141"/>
        <v>3</v>
      </c>
      <c r="W594" s="1" t="str">
        <f t="shared" si="142"/>
        <v>LODP</v>
      </c>
      <c r="X594" t="s">
        <v>39</v>
      </c>
      <c r="Y594" t="s">
        <v>149</v>
      </c>
      <c r="AB594">
        <v>3</v>
      </c>
      <c r="AJ594">
        <f t="shared" si="143"/>
        <v>100</v>
      </c>
      <c r="AK594">
        <f t="shared" si="144"/>
        <v>0</v>
      </c>
      <c r="AL594">
        <f t="shared" si="145"/>
        <v>3</v>
      </c>
      <c r="AM594">
        <f t="shared" si="135"/>
        <v>0</v>
      </c>
      <c r="AN594">
        <f t="shared" si="146"/>
        <v>3</v>
      </c>
      <c r="AO594">
        <f t="shared" si="147"/>
        <v>0</v>
      </c>
      <c r="AP594">
        <f t="shared" si="148"/>
        <v>0</v>
      </c>
      <c r="AQ594">
        <f t="shared" si="136"/>
        <v>0</v>
      </c>
      <c r="AR594">
        <f t="shared" si="149"/>
        <v>0</v>
      </c>
    </row>
    <row r="595" spans="1:44" x14ac:dyDescent="0.25">
      <c r="A595" t="s">
        <v>646</v>
      </c>
      <c r="B595">
        <v>0</v>
      </c>
      <c r="E595">
        <v>0</v>
      </c>
      <c r="I595" s="1">
        <v>0</v>
      </c>
      <c r="J595" s="1"/>
      <c r="K595" s="1" t="s">
        <v>6</v>
      </c>
      <c r="L595" s="1">
        <v>0</v>
      </c>
      <c r="M595" s="1" t="b">
        <v>0</v>
      </c>
      <c r="N595" s="1" t="b">
        <v>1</v>
      </c>
      <c r="O595">
        <v>0</v>
      </c>
      <c r="P595">
        <v>3</v>
      </c>
      <c r="Q595">
        <v>0</v>
      </c>
      <c r="R595" s="1">
        <f t="shared" si="137"/>
        <v>0</v>
      </c>
      <c r="S595" s="1">
        <f t="shared" si="138"/>
        <v>1</v>
      </c>
      <c r="T595" s="1">
        <f t="shared" si="139"/>
        <v>2</v>
      </c>
      <c r="U595" s="1">
        <f t="shared" si="140"/>
        <v>3</v>
      </c>
      <c r="V595" s="1">
        <f t="shared" si="141"/>
        <v>6</v>
      </c>
      <c r="W595" s="1" t="str">
        <f t="shared" si="142"/>
        <v>LODP</v>
      </c>
      <c r="X595" t="s">
        <v>39</v>
      </c>
      <c r="Y595" t="s">
        <v>149</v>
      </c>
      <c r="AB595">
        <v>3</v>
      </c>
      <c r="AJ595">
        <f t="shared" si="143"/>
        <v>100</v>
      </c>
      <c r="AK595">
        <f t="shared" si="144"/>
        <v>0</v>
      </c>
      <c r="AL595">
        <f t="shared" si="145"/>
        <v>3</v>
      </c>
      <c r="AM595">
        <f t="shared" si="135"/>
        <v>0</v>
      </c>
      <c r="AN595">
        <f t="shared" si="146"/>
        <v>6</v>
      </c>
      <c r="AO595">
        <f t="shared" si="147"/>
        <v>0</v>
      </c>
      <c r="AP595">
        <f t="shared" si="148"/>
        <v>1</v>
      </c>
      <c r="AQ595">
        <f t="shared" si="136"/>
        <v>0</v>
      </c>
      <c r="AR595">
        <f t="shared" si="149"/>
        <v>1</v>
      </c>
    </row>
    <row r="596" spans="1:44" x14ac:dyDescent="0.25">
      <c r="A596" t="s">
        <v>647</v>
      </c>
      <c r="B596">
        <v>0</v>
      </c>
      <c r="C596" t="s">
        <v>5</v>
      </c>
      <c r="E596">
        <v>0</v>
      </c>
      <c r="F596" t="s">
        <v>2</v>
      </c>
      <c r="I596" s="1">
        <v>0</v>
      </c>
      <c r="J596" s="1" t="s">
        <v>5</v>
      </c>
      <c r="K596" s="1"/>
      <c r="L596" s="1">
        <v>0</v>
      </c>
      <c r="M596" s="1" t="b">
        <v>0</v>
      </c>
      <c r="N596" s="1" t="b">
        <v>1</v>
      </c>
      <c r="O596">
        <v>0</v>
      </c>
      <c r="P596">
        <v>2</v>
      </c>
      <c r="Q596">
        <v>1</v>
      </c>
      <c r="R596" s="1">
        <f t="shared" si="137"/>
        <v>0</v>
      </c>
      <c r="S596" s="1">
        <f t="shared" si="138"/>
        <v>0</v>
      </c>
      <c r="T596" s="1">
        <f t="shared" si="139"/>
        <v>2</v>
      </c>
      <c r="U596" s="1">
        <f t="shared" si="140"/>
        <v>2</v>
      </c>
      <c r="V596" s="1">
        <f t="shared" si="141"/>
        <v>5</v>
      </c>
      <c r="W596" s="1" t="str">
        <f t="shared" si="142"/>
        <v>LODP</v>
      </c>
      <c r="X596" t="s">
        <v>39</v>
      </c>
      <c r="Y596" t="s">
        <v>149</v>
      </c>
      <c r="AB596">
        <v>3</v>
      </c>
      <c r="AJ596">
        <f t="shared" si="143"/>
        <v>101</v>
      </c>
      <c r="AK596">
        <f t="shared" si="144"/>
        <v>1</v>
      </c>
      <c r="AL596">
        <f t="shared" si="145"/>
        <v>5</v>
      </c>
      <c r="AM596">
        <f t="shared" si="135"/>
        <v>1</v>
      </c>
      <c r="AN596">
        <f t="shared" si="146"/>
        <v>5</v>
      </c>
      <c r="AO596">
        <f t="shared" si="147"/>
        <v>1</v>
      </c>
      <c r="AP596">
        <f t="shared" si="148"/>
        <v>0</v>
      </c>
      <c r="AQ596">
        <f t="shared" si="136"/>
        <v>0</v>
      </c>
      <c r="AR596">
        <f t="shared" si="149"/>
        <v>0</v>
      </c>
    </row>
    <row r="597" spans="1:44" x14ac:dyDescent="0.25">
      <c r="A597" t="s">
        <v>648</v>
      </c>
      <c r="B597">
        <v>0</v>
      </c>
      <c r="E597">
        <v>0</v>
      </c>
      <c r="I597" s="1">
        <v>0</v>
      </c>
      <c r="J597" s="1" t="s">
        <v>5</v>
      </c>
      <c r="K597" s="1"/>
      <c r="L597" s="1">
        <v>0</v>
      </c>
      <c r="M597" s="1" t="b">
        <v>0</v>
      </c>
      <c r="N597" s="1" t="b">
        <v>1</v>
      </c>
      <c r="O597">
        <v>0</v>
      </c>
      <c r="P597">
        <v>3</v>
      </c>
      <c r="Q597">
        <v>0</v>
      </c>
      <c r="R597" s="1">
        <f t="shared" si="137"/>
        <v>0</v>
      </c>
      <c r="S597" s="1">
        <f t="shared" si="138"/>
        <v>1</v>
      </c>
      <c r="T597" s="1">
        <f t="shared" si="139"/>
        <v>2</v>
      </c>
      <c r="U597" s="1">
        <f t="shared" si="140"/>
        <v>3</v>
      </c>
      <c r="V597" s="1">
        <f t="shared" si="141"/>
        <v>5</v>
      </c>
      <c r="W597" s="1" t="str">
        <f t="shared" si="142"/>
        <v>LODP</v>
      </c>
      <c r="X597" t="s">
        <v>39</v>
      </c>
      <c r="Y597" t="s">
        <v>149</v>
      </c>
      <c r="AB597">
        <v>3</v>
      </c>
      <c r="AJ597">
        <f t="shared" si="143"/>
        <v>100</v>
      </c>
      <c r="AK597">
        <f t="shared" si="144"/>
        <v>0</v>
      </c>
      <c r="AL597">
        <f t="shared" si="145"/>
        <v>3</v>
      </c>
      <c r="AM597">
        <f t="shared" si="135"/>
        <v>0</v>
      </c>
      <c r="AN597">
        <f t="shared" si="146"/>
        <v>5</v>
      </c>
      <c r="AO597">
        <f t="shared" si="147"/>
        <v>0</v>
      </c>
      <c r="AP597">
        <f t="shared" si="148"/>
        <v>1</v>
      </c>
      <c r="AQ597">
        <f t="shared" si="136"/>
        <v>0</v>
      </c>
      <c r="AR597">
        <f t="shared" si="149"/>
        <v>1</v>
      </c>
    </row>
    <row r="598" spans="1:44" x14ac:dyDescent="0.25">
      <c r="A598" t="s">
        <v>649</v>
      </c>
      <c r="B598">
        <v>0</v>
      </c>
      <c r="I598" s="1">
        <v>0</v>
      </c>
      <c r="J598" s="1"/>
      <c r="K598" s="1"/>
      <c r="L598" s="1" t="s">
        <v>7</v>
      </c>
      <c r="M598" s="1" t="b">
        <v>0</v>
      </c>
      <c r="N598" s="1"/>
      <c r="O598">
        <v>0</v>
      </c>
      <c r="P598">
        <v>3</v>
      </c>
      <c r="Q598">
        <v>0</v>
      </c>
      <c r="R598" s="1">
        <f t="shared" si="137"/>
        <v>0</v>
      </c>
      <c r="S598" s="1">
        <f t="shared" si="138"/>
        <v>2</v>
      </c>
      <c r="T598" s="1">
        <f t="shared" si="139"/>
        <v>1</v>
      </c>
      <c r="U598" s="1">
        <f t="shared" si="140"/>
        <v>3</v>
      </c>
      <c r="V598" s="1">
        <f t="shared" si="141"/>
        <v>3</v>
      </c>
      <c r="W598" s="1" t="str">
        <f t="shared" si="142"/>
        <v>BGO</v>
      </c>
      <c r="X598" t="s">
        <v>39</v>
      </c>
      <c r="Y598" t="s">
        <v>149</v>
      </c>
      <c r="Z598" t="s">
        <v>261</v>
      </c>
      <c r="AA598" t="s">
        <v>262</v>
      </c>
      <c r="AB598">
        <v>1</v>
      </c>
      <c r="AJ598">
        <f t="shared" si="143"/>
        <v>0</v>
      </c>
      <c r="AK598">
        <f t="shared" si="144"/>
        <v>0</v>
      </c>
      <c r="AL598">
        <f t="shared" si="145"/>
        <v>0</v>
      </c>
      <c r="AM598">
        <f t="shared" si="135"/>
        <v>0</v>
      </c>
      <c r="AN598">
        <f t="shared" si="146"/>
        <v>3</v>
      </c>
      <c r="AO598">
        <f t="shared" si="147"/>
        <v>0</v>
      </c>
      <c r="AP598">
        <f t="shared" si="148"/>
        <v>1</v>
      </c>
      <c r="AQ598">
        <f t="shared" si="136"/>
        <v>0</v>
      </c>
      <c r="AR598">
        <f t="shared" si="149"/>
        <v>1</v>
      </c>
    </row>
    <row r="599" spans="1:44" x14ac:dyDescent="0.25">
      <c r="A599" t="s">
        <v>650</v>
      </c>
      <c r="D599" t="s">
        <v>651</v>
      </c>
      <c r="G599" t="s">
        <v>651</v>
      </c>
      <c r="I599" s="1"/>
      <c r="J599" s="1"/>
      <c r="K599" s="1" t="s">
        <v>651</v>
      </c>
      <c r="L599" s="1"/>
      <c r="M599" s="1" t="b">
        <v>0</v>
      </c>
      <c r="N599" s="1"/>
      <c r="O599">
        <v>0</v>
      </c>
      <c r="P599">
        <v>1</v>
      </c>
      <c r="Q599">
        <v>2</v>
      </c>
      <c r="R599" s="1">
        <f t="shared" si="137"/>
        <v>0</v>
      </c>
      <c r="S599" s="1">
        <f t="shared" si="138"/>
        <v>1</v>
      </c>
      <c r="T599" s="1">
        <f t="shared" si="139"/>
        <v>0</v>
      </c>
      <c r="U599" s="1">
        <f t="shared" si="140"/>
        <v>1</v>
      </c>
      <c r="V599" s="1">
        <f t="shared" si="141"/>
        <v>0</v>
      </c>
      <c r="W599" s="1" t="str">
        <f t="shared" si="142"/>
        <v>pAuto</v>
      </c>
      <c r="X599" t="s">
        <v>149</v>
      </c>
      <c r="Y599" t="s">
        <v>149</v>
      </c>
      <c r="AJ599">
        <f t="shared" si="143"/>
        <v>10</v>
      </c>
      <c r="AK599">
        <f t="shared" si="144"/>
        <v>10</v>
      </c>
      <c r="AL599">
        <f t="shared" si="145"/>
        <v>2</v>
      </c>
      <c r="AM599">
        <f t="shared" si="135"/>
        <v>2</v>
      </c>
      <c r="AN599">
        <f t="shared" si="146"/>
        <v>0</v>
      </c>
      <c r="AO599">
        <f t="shared" si="147"/>
        <v>2</v>
      </c>
      <c r="AP599">
        <f t="shared" si="148"/>
        <v>1</v>
      </c>
      <c r="AQ599">
        <f t="shared" si="136"/>
        <v>0</v>
      </c>
      <c r="AR599">
        <f t="shared" si="149"/>
        <v>1</v>
      </c>
    </row>
    <row r="600" spans="1:44" x14ac:dyDescent="0.25">
      <c r="A600" t="s">
        <v>652</v>
      </c>
      <c r="D600" t="s">
        <v>651</v>
      </c>
      <c r="G600" t="s">
        <v>651</v>
      </c>
      <c r="I600" s="1"/>
      <c r="J600" s="1"/>
      <c r="K600" s="1" t="s">
        <v>651</v>
      </c>
      <c r="L600" s="1"/>
      <c r="M600" s="1" t="b">
        <v>0</v>
      </c>
      <c r="N600" s="1"/>
      <c r="O600">
        <v>0</v>
      </c>
      <c r="P600">
        <v>2</v>
      </c>
      <c r="Q600">
        <v>2</v>
      </c>
      <c r="R600" s="1">
        <f t="shared" si="137"/>
        <v>0</v>
      </c>
      <c r="S600" s="1">
        <f t="shared" si="138"/>
        <v>2</v>
      </c>
      <c r="T600" s="1">
        <f t="shared" si="139"/>
        <v>0</v>
      </c>
      <c r="U600" s="1">
        <f t="shared" si="140"/>
        <v>2</v>
      </c>
      <c r="V600" s="1">
        <f t="shared" si="141"/>
        <v>0</v>
      </c>
      <c r="W600" s="1" t="str">
        <f t="shared" si="142"/>
        <v>pAuto</v>
      </c>
      <c r="X600" t="s">
        <v>149</v>
      </c>
      <c r="Y600" t="s">
        <v>149</v>
      </c>
      <c r="AJ600">
        <f t="shared" si="143"/>
        <v>10</v>
      </c>
      <c r="AK600">
        <f t="shared" si="144"/>
        <v>10</v>
      </c>
      <c r="AL600">
        <f t="shared" si="145"/>
        <v>2</v>
      </c>
      <c r="AM600">
        <f t="shared" si="135"/>
        <v>2</v>
      </c>
      <c r="AN600">
        <f t="shared" si="146"/>
        <v>0</v>
      </c>
      <c r="AO600">
        <f t="shared" si="147"/>
        <v>2</v>
      </c>
      <c r="AP600">
        <f t="shared" si="148"/>
        <v>1</v>
      </c>
      <c r="AQ600">
        <f t="shared" si="136"/>
        <v>0</v>
      </c>
      <c r="AR600">
        <f t="shared" si="149"/>
        <v>1</v>
      </c>
    </row>
    <row r="601" spans="1:44" x14ac:dyDescent="0.25">
      <c r="A601" t="s">
        <v>653</v>
      </c>
      <c r="D601" t="s">
        <v>651</v>
      </c>
      <c r="G601" t="s">
        <v>651</v>
      </c>
      <c r="I601" s="1"/>
      <c r="J601" s="1"/>
      <c r="K601" s="1" t="s">
        <v>651</v>
      </c>
      <c r="L601" s="1"/>
      <c r="M601" s="1" t="b">
        <v>0</v>
      </c>
      <c r="N601" s="1"/>
      <c r="O601">
        <v>0</v>
      </c>
      <c r="P601">
        <v>0</v>
      </c>
      <c r="Q601">
        <v>2</v>
      </c>
      <c r="R601" s="1">
        <f t="shared" si="137"/>
        <v>0</v>
      </c>
      <c r="S601" s="1">
        <f t="shared" si="138"/>
        <v>0</v>
      </c>
      <c r="T601" s="1">
        <f t="shared" si="139"/>
        <v>0</v>
      </c>
      <c r="U601" s="1">
        <f t="shared" si="140"/>
        <v>0</v>
      </c>
      <c r="V601" s="1">
        <f t="shared" si="141"/>
        <v>0</v>
      </c>
      <c r="W601" s="1" t="str">
        <f t="shared" si="142"/>
        <v>pAuto</v>
      </c>
      <c r="X601" t="s">
        <v>149</v>
      </c>
      <c r="Y601" t="s">
        <v>149</v>
      </c>
      <c r="AJ601">
        <f t="shared" si="143"/>
        <v>10</v>
      </c>
      <c r="AK601">
        <f t="shared" si="144"/>
        <v>10</v>
      </c>
      <c r="AL601">
        <f t="shared" si="145"/>
        <v>2</v>
      </c>
      <c r="AM601">
        <f t="shared" si="135"/>
        <v>2</v>
      </c>
      <c r="AN601">
        <f t="shared" si="146"/>
        <v>0</v>
      </c>
      <c r="AO601">
        <f t="shared" si="147"/>
        <v>2</v>
      </c>
      <c r="AP601">
        <f t="shared" si="148"/>
        <v>1</v>
      </c>
      <c r="AQ601">
        <f t="shared" si="136"/>
        <v>0</v>
      </c>
      <c r="AR601">
        <f t="shared" si="149"/>
        <v>1</v>
      </c>
    </row>
    <row r="602" spans="1:44" x14ac:dyDescent="0.25">
      <c r="A602" t="s">
        <v>654</v>
      </c>
      <c r="B602" t="s">
        <v>5</v>
      </c>
      <c r="C602" t="s">
        <v>6</v>
      </c>
      <c r="D602" t="s">
        <v>7</v>
      </c>
      <c r="E602" t="s">
        <v>43</v>
      </c>
      <c r="F602" t="s">
        <v>1</v>
      </c>
      <c r="G602" t="s">
        <v>2</v>
      </c>
      <c r="H602" t="s">
        <v>3</v>
      </c>
      <c r="I602" s="1" t="s">
        <v>5</v>
      </c>
      <c r="J602" s="1" t="s">
        <v>6</v>
      </c>
      <c r="K602" s="1" t="s">
        <v>7</v>
      </c>
      <c r="L602" s="1" t="s">
        <v>43</v>
      </c>
      <c r="M602" s="1" t="b">
        <v>0</v>
      </c>
      <c r="N602" s="1"/>
      <c r="O602">
        <v>1</v>
      </c>
      <c r="P602">
        <v>0</v>
      </c>
      <c r="Q602">
        <v>7</v>
      </c>
      <c r="R602" s="1">
        <f t="shared" si="137"/>
        <v>1</v>
      </c>
      <c r="S602" s="1">
        <f t="shared" si="138"/>
        <v>0</v>
      </c>
      <c r="T602" s="1">
        <f t="shared" si="139"/>
        <v>0</v>
      </c>
      <c r="U602" s="1">
        <f t="shared" si="140"/>
        <v>0</v>
      </c>
      <c r="V602" s="1">
        <f t="shared" si="141"/>
        <v>7</v>
      </c>
      <c r="W602" s="1" t="str">
        <f t="shared" si="142"/>
        <v>IF1B</v>
      </c>
      <c r="X602" t="s">
        <v>39</v>
      </c>
      <c r="Y602" t="s">
        <v>39</v>
      </c>
      <c r="AJ602">
        <f t="shared" si="143"/>
        <v>111</v>
      </c>
      <c r="AK602">
        <f t="shared" si="144"/>
        <v>111</v>
      </c>
      <c r="AL602">
        <f t="shared" si="145"/>
        <v>7</v>
      </c>
      <c r="AM602">
        <f t="shared" si="135"/>
        <v>7</v>
      </c>
      <c r="AN602">
        <f t="shared" si="146"/>
        <v>7</v>
      </c>
      <c r="AO602">
        <f t="shared" si="147"/>
        <v>7</v>
      </c>
      <c r="AP602">
        <f t="shared" si="148"/>
        <v>0</v>
      </c>
      <c r="AQ602">
        <f t="shared" si="136"/>
        <v>0</v>
      </c>
      <c r="AR602">
        <f t="shared" si="149"/>
        <v>0</v>
      </c>
    </row>
    <row r="603" spans="1:44" x14ac:dyDescent="0.25">
      <c r="A603" t="s">
        <v>655</v>
      </c>
      <c r="B603">
        <v>0</v>
      </c>
      <c r="C603">
        <v>0</v>
      </c>
      <c r="I603" s="1">
        <v>0</v>
      </c>
      <c r="J603" s="1">
        <v>0</v>
      </c>
      <c r="K603" s="1"/>
      <c r="L603" s="1"/>
      <c r="M603" s="1" t="b">
        <v>0</v>
      </c>
      <c r="N603" s="1"/>
      <c r="O603">
        <v>0</v>
      </c>
      <c r="P603">
        <v>2</v>
      </c>
      <c r="Q603">
        <v>0</v>
      </c>
      <c r="R603" s="1">
        <f t="shared" si="137"/>
        <v>0</v>
      </c>
      <c r="S603" s="1">
        <f t="shared" si="138"/>
        <v>0</v>
      </c>
      <c r="T603" s="1">
        <f t="shared" si="139"/>
        <v>2</v>
      </c>
      <c r="U603" s="1">
        <f t="shared" si="140"/>
        <v>2</v>
      </c>
      <c r="V603" s="1">
        <f t="shared" si="141"/>
        <v>1</v>
      </c>
      <c r="W603" s="1" t="str">
        <f t="shared" si="142"/>
        <v>KCS</v>
      </c>
      <c r="X603" t="s">
        <v>39</v>
      </c>
      <c r="Y603" t="s">
        <v>149</v>
      </c>
      <c r="AA603" t="s">
        <v>304</v>
      </c>
      <c r="AB603">
        <v>2</v>
      </c>
      <c r="AJ603">
        <f t="shared" si="143"/>
        <v>1</v>
      </c>
      <c r="AK603">
        <f t="shared" si="144"/>
        <v>0</v>
      </c>
      <c r="AL603">
        <f t="shared" si="145"/>
        <v>1</v>
      </c>
      <c r="AM603">
        <f t="shared" si="135"/>
        <v>0</v>
      </c>
      <c r="AN603">
        <f t="shared" si="146"/>
        <v>1</v>
      </c>
      <c r="AO603">
        <f t="shared" si="147"/>
        <v>0</v>
      </c>
      <c r="AP603">
        <f t="shared" si="148"/>
        <v>0</v>
      </c>
      <c r="AQ603">
        <f t="shared" si="136"/>
        <v>0</v>
      </c>
      <c r="AR603">
        <f t="shared" si="149"/>
        <v>0</v>
      </c>
    </row>
    <row r="604" spans="1:44" x14ac:dyDescent="0.25">
      <c r="A604" t="s">
        <v>656</v>
      </c>
      <c r="B604">
        <v>0</v>
      </c>
      <c r="D604">
        <v>0</v>
      </c>
      <c r="I604" s="1">
        <v>0</v>
      </c>
      <c r="J604" s="1"/>
      <c r="K604" s="1">
        <v>0</v>
      </c>
      <c r="L604" s="1"/>
      <c r="M604" s="1" t="b">
        <v>0</v>
      </c>
      <c r="N604" s="1"/>
      <c r="O604">
        <v>0</v>
      </c>
      <c r="P604">
        <v>2</v>
      </c>
      <c r="Q604">
        <v>0</v>
      </c>
      <c r="R604" s="1">
        <f t="shared" si="137"/>
        <v>0</v>
      </c>
      <c r="S604" s="1">
        <f t="shared" si="138"/>
        <v>0</v>
      </c>
      <c r="T604" s="1">
        <f t="shared" si="139"/>
        <v>2</v>
      </c>
      <c r="U604" s="1">
        <f t="shared" si="140"/>
        <v>2</v>
      </c>
      <c r="V604" s="1">
        <f t="shared" si="141"/>
        <v>2</v>
      </c>
      <c r="W604" s="1" t="str">
        <f t="shared" si="142"/>
        <v>KCS</v>
      </c>
      <c r="X604" t="s">
        <v>39</v>
      </c>
      <c r="Y604" t="s">
        <v>149</v>
      </c>
      <c r="AA604" t="s">
        <v>304</v>
      </c>
      <c r="AB604">
        <v>3</v>
      </c>
      <c r="AJ604">
        <f t="shared" si="143"/>
        <v>10</v>
      </c>
      <c r="AK604">
        <f t="shared" si="144"/>
        <v>0</v>
      </c>
      <c r="AL604">
        <f t="shared" si="145"/>
        <v>2</v>
      </c>
      <c r="AM604">
        <f t="shared" si="135"/>
        <v>0</v>
      </c>
      <c r="AN604">
        <f t="shared" si="146"/>
        <v>2</v>
      </c>
      <c r="AO604">
        <f t="shared" si="147"/>
        <v>0</v>
      </c>
      <c r="AP604">
        <f t="shared" si="148"/>
        <v>0</v>
      </c>
      <c r="AQ604">
        <f t="shared" si="136"/>
        <v>0</v>
      </c>
      <c r="AR604">
        <f t="shared" si="149"/>
        <v>0</v>
      </c>
    </row>
    <row r="605" spans="1:44" x14ac:dyDescent="0.25">
      <c r="A605" t="s">
        <v>657</v>
      </c>
      <c r="B605">
        <v>0</v>
      </c>
      <c r="C605" t="s">
        <v>6</v>
      </c>
      <c r="D605">
        <v>0</v>
      </c>
      <c r="G605" t="s">
        <v>2</v>
      </c>
      <c r="I605" s="1">
        <v>0</v>
      </c>
      <c r="J605" s="1" t="s">
        <v>6</v>
      </c>
      <c r="K605" s="1">
        <v>0</v>
      </c>
      <c r="L605" s="1"/>
      <c r="M605" s="1" t="b">
        <v>0</v>
      </c>
      <c r="N605" s="1"/>
      <c r="O605">
        <v>0</v>
      </c>
      <c r="P605">
        <v>2</v>
      </c>
      <c r="Q605">
        <v>2</v>
      </c>
      <c r="R605" s="1">
        <f t="shared" si="137"/>
        <v>0</v>
      </c>
      <c r="S605" s="1">
        <f t="shared" si="138"/>
        <v>0</v>
      </c>
      <c r="T605" s="1">
        <f t="shared" si="139"/>
        <v>2</v>
      </c>
      <c r="U605" s="1">
        <f t="shared" si="140"/>
        <v>2</v>
      </c>
      <c r="V605" s="1">
        <f t="shared" si="141"/>
        <v>4</v>
      </c>
      <c r="W605" s="1" t="str">
        <f t="shared" si="142"/>
        <v>KCS</v>
      </c>
      <c r="X605" t="s">
        <v>39</v>
      </c>
      <c r="Y605" t="s">
        <v>149</v>
      </c>
      <c r="AA605" t="s">
        <v>304</v>
      </c>
      <c r="AB605">
        <v>3</v>
      </c>
      <c r="AJ605">
        <f t="shared" si="143"/>
        <v>11</v>
      </c>
      <c r="AK605">
        <f t="shared" si="144"/>
        <v>10</v>
      </c>
      <c r="AL605">
        <f t="shared" si="145"/>
        <v>4</v>
      </c>
      <c r="AM605">
        <f t="shared" si="135"/>
        <v>2</v>
      </c>
      <c r="AN605">
        <f t="shared" si="146"/>
        <v>4</v>
      </c>
      <c r="AO605">
        <f t="shared" si="147"/>
        <v>2</v>
      </c>
      <c r="AP605">
        <f t="shared" si="148"/>
        <v>0</v>
      </c>
      <c r="AQ605">
        <f t="shared" si="136"/>
        <v>0</v>
      </c>
      <c r="AR605">
        <f t="shared" si="149"/>
        <v>0</v>
      </c>
    </row>
    <row r="606" spans="1:44" x14ac:dyDescent="0.25">
      <c r="A606" t="s">
        <v>658</v>
      </c>
      <c r="B606">
        <v>0</v>
      </c>
      <c r="C606">
        <v>0</v>
      </c>
      <c r="E606" t="s">
        <v>7</v>
      </c>
      <c r="H606" t="s">
        <v>4</v>
      </c>
      <c r="I606" s="1">
        <v>0</v>
      </c>
      <c r="J606" s="1">
        <v>0</v>
      </c>
      <c r="K606" s="1"/>
      <c r="L606" s="1" t="s">
        <v>7</v>
      </c>
      <c r="M606" s="1" t="b">
        <v>0</v>
      </c>
      <c r="N606" s="1"/>
      <c r="O606">
        <v>0</v>
      </c>
      <c r="P606">
        <v>2</v>
      </c>
      <c r="Q606">
        <v>3</v>
      </c>
      <c r="R606" s="1">
        <f t="shared" si="137"/>
        <v>0</v>
      </c>
      <c r="S606" s="1">
        <f t="shared" si="138"/>
        <v>0</v>
      </c>
      <c r="T606" s="1">
        <f t="shared" si="139"/>
        <v>2</v>
      </c>
      <c r="U606" s="1">
        <f t="shared" si="140"/>
        <v>2</v>
      </c>
      <c r="V606" s="1">
        <f t="shared" si="141"/>
        <v>5</v>
      </c>
      <c r="W606" s="1" t="str">
        <f t="shared" si="142"/>
        <v>KCS</v>
      </c>
      <c r="X606" t="s">
        <v>39</v>
      </c>
      <c r="Y606" t="s">
        <v>149</v>
      </c>
      <c r="AA606" t="s">
        <v>304</v>
      </c>
      <c r="AB606">
        <v>2</v>
      </c>
      <c r="AJ606">
        <f t="shared" si="143"/>
        <v>101</v>
      </c>
      <c r="AK606">
        <f t="shared" si="144"/>
        <v>100</v>
      </c>
      <c r="AL606">
        <f t="shared" si="145"/>
        <v>5</v>
      </c>
      <c r="AM606">
        <f t="shared" si="135"/>
        <v>3</v>
      </c>
      <c r="AN606">
        <f t="shared" si="146"/>
        <v>5</v>
      </c>
      <c r="AO606">
        <f t="shared" si="147"/>
        <v>3</v>
      </c>
      <c r="AP606">
        <f t="shared" si="148"/>
        <v>0</v>
      </c>
      <c r="AQ606">
        <f t="shared" si="136"/>
        <v>0</v>
      </c>
      <c r="AR606">
        <f t="shared" si="149"/>
        <v>0</v>
      </c>
    </row>
    <row r="607" spans="1:44" x14ac:dyDescent="0.25">
      <c r="A607" t="s">
        <v>659</v>
      </c>
      <c r="B607">
        <v>0</v>
      </c>
      <c r="C607">
        <v>0</v>
      </c>
      <c r="I607" s="1">
        <v>0</v>
      </c>
      <c r="J607" s="1">
        <v>0</v>
      </c>
      <c r="K607" s="1"/>
      <c r="L607" s="1"/>
      <c r="M607" s="1" t="b">
        <v>0</v>
      </c>
      <c r="N607" s="1"/>
      <c r="O607">
        <v>0</v>
      </c>
      <c r="P607">
        <v>3</v>
      </c>
      <c r="Q607">
        <v>0</v>
      </c>
      <c r="R607" s="1">
        <f t="shared" si="137"/>
        <v>0</v>
      </c>
      <c r="S607" s="1">
        <f t="shared" si="138"/>
        <v>1</v>
      </c>
      <c r="T607" s="1">
        <f t="shared" si="139"/>
        <v>2</v>
      </c>
      <c r="U607" s="1">
        <f t="shared" si="140"/>
        <v>3</v>
      </c>
      <c r="V607" s="1">
        <f t="shared" si="141"/>
        <v>1</v>
      </c>
      <c r="W607" s="1" t="str">
        <f t="shared" si="142"/>
        <v>KCS</v>
      </c>
      <c r="X607" t="s">
        <v>39</v>
      </c>
      <c r="Y607" t="s">
        <v>149</v>
      </c>
      <c r="AA607" t="s">
        <v>304</v>
      </c>
      <c r="AB607">
        <v>2</v>
      </c>
      <c r="AJ607">
        <f t="shared" si="143"/>
        <v>1</v>
      </c>
      <c r="AK607">
        <f t="shared" si="144"/>
        <v>0</v>
      </c>
      <c r="AL607">
        <f t="shared" si="145"/>
        <v>1</v>
      </c>
      <c r="AM607">
        <f t="shared" si="135"/>
        <v>0</v>
      </c>
      <c r="AN607">
        <f t="shared" si="146"/>
        <v>1</v>
      </c>
      <c r="AO607">
        <f t="shared" si="147"/>
        <v>0</v>
      </c>
      <c r="AP607">
        <f t="shared" si="148"/>
        <v>0</v>
      </c>
      <c r="AQ607">
        <f t="shared" si="136"/>
        <v>0</v>
      </c>
      <c r="AR607">
        <f t="shared" si="149"/>
        <v>0</v>
      </c>
    </row>
    <row r="608" spans="1:44" x14ac:dyDescent="0.25">
      <c r="A608" t="s">
        <v>660</v>
      </c>
      <c r="B608">
        <v>0</v>
      </c>
      <c r="D608">
        <v>0</v>
      </c>
      <c r="I608" s="1">
        <v>0</v>
      </c>
      <c r="J608" s="1"/>
      <c r="K608" s="1">
        <v>0</v>
      </c>
      <c r="L608" s="1"/>
      <c r="M608" s="1" t="b">
        <v>0</v>
      </c>
      <c r="N608" s="1"/>
      <c r="O608">
        <v>0</v>
      </c>
      <c r="P608">
        <v>3</v>
      </c>
      <c r="Q608">
        <v>0</v>
      </c>
      <c r="R608" s="1">
        <f t="shared" si="137"/>
        <v>0</v>
      </c>
      <c r="S608" s="1">
        <f t="shared" si="138"/>
        <v>1</v>
      </c>
      <c r="T608" s="1">
        <f t="shared" si="139"/>
        <v>2</v>
      </c>
      <c r="U608" s="1">
        <f t="shared" si="140"/>
        <v>3</v>
      </c>
      <c r="V608" s="1">
        <f t="shared" si="141"/>
        <v>2</v>
      </c>
      <c r="W608" s="1" t="str">
        <f t="shared" si="142"/>
        <v>KCS</v>
      </c>
      <c r="X608" t="s">
        <v>39</v>
      </c>
      <c r="Y608" t="s">
        <v>149</v>
      </c>
      <c r="AA608" t="s">
        <v>304</v>
      </c>
      <c r="AB608">
        <v>3</v>
      </c>
      <c r="AJ608">
        <f t="shared" si="143"/>
        <v>10</v>
      </c>
      <c r="AK608">
        <f t="shared" si="144"/>
        <v>0</v>
      </c>
      <c r="AL608">
        <f t="shared" si="145"/>
        <v>2</v>
      </c>
      <c r="AM608">
        <f t="shared" si="135"/>
        <v>0</v>
      </c>
      <c r="AN608">
        <f t="shared" si="146"/>
        <v>2</v>
      </c>
      <c r="AO608">
        <f t="shared" si="147"/>
        <v>0</v>
      </c>
      <c r="AP608">
        <f t="shared" si="148"/>
        <v>0</v>
      </c>
      <c r="AQ608">
        <f t="shared" si="136"/>
        <v>0</v>
      </c>
      <c r="AR608">
        <f t="shared" si="149"/>
        <v>0</v>
      </c>
    </row>
    <row r="609" spans="1:44" x14ac:dyDescent="0.25">
      <c r="A609" t="s">
        <v>661</v>
      </c>
      <c r="B609">
        <v>0</v>
      </c>
      <c r="C609" t="s">
        <v>6</v>
      </c>
      <c r="D609">
        <v>0</v>
      </c>
      <c r="G609" t="s">
        <v>2</v>
      </c>
      <c r="I609" s="1">
        <v>0</v>
      </c>
      <c r="J609" s="1" t="s">
        <v>6</v>
      </c>
      <c r="K609" s="1">
        <v>0</v>
      </c>
      <c r="L609" s="1"/>
      <c r="M609" s="1" t="b">
        <v>0</v>
      </c>
      <c r="N609" s="1"/>
      <c r="O609">
        <v>0</v>
      </c>
      <c r="P609">
        <v>3</v>
      </c>
      <c r="Q609">
        <v>2</v>
      </c>
      <c r="R609" s="1">
        <f t="shared" si="137"/>
        <v>0</v>
      </c>
      <c r="S609" s="1">
        <f t="shared" si="138"/>
        <v>1</v>
      </c>
      <c r="T609" s="1">
        <f t="shared" si="139"/>
        <v>2</v>
      </c>
      <c r="U609" s="1">
        <f t="shared" si="140"/>
        <v>3</v>
      </c>
      <c r="V609" s="1">
        <f t="shared" si="141"/>
        <v>4</v>
      </c>
      <c r="W609" s="1" t="str">
        <f t="shared" si="142"/>
        <v>KCS</v>
      </c>
      <c r="X609" t="s">
        <v>39</v>
      </c>
      <c r="Y609" t="s">
        <v>149</v>
      </c>
      <c r="AA609" t="s">
        <v>304</v>
      </c>
      <c r="AB609">
        <v>3</v>
      </c>
      <c r="AJ609">
        <f t="shared" si="143"/>
        <v>11</v>
      </c>
      <c r="AK609">
        <f t="shared" si="144"/>
        <v>10</v>
      </c>
      <c r="AL609">
        <f t="shared" si="145"/>
        <v>4</v>
      </c>
      <c r="AM609">
        <f t="shared" si="135"/>
        <v>2</v>
      </c>
      <c r="AN609">
        <f t="shared" si="146"/>
        <v>4</v>
      </c>
      <c r="AO609">
        <f t="shared" si="147"/>
        <v>2</v>
      </c>
      <c r="AP609">
        <f t="shared" si="148"/>
        <v>0</v>
      </c>
      <c r="AQ609">
        <f t="shared" si="136"/>
        <v>0</v>
      </c>
      <c r="AR609">
        <f t="shared" si="149"/>
        <v>0</v>
      </c>
    </row>
    <row r="610" spans="1:44" x14ac:dyDescent="0.25">
      <c r="A610" t="s">
        <v>662</v>
      </c>
      <c r="B610">
        <v>0</v>
      </c>
      <c r="C610">
        <v>0</v>
      </c>
      <c r="E610" t="s">
        <v>7</v>
      </c>
      <c r="H610" t="s">
        <v>4</v>
      </c>
      <c r="I610" s="1">
        <v>0</v>
      </c>
      <c r="J610" s="1">
        <v>0</v>
      </c>
      <c r="K610" s="1"/>
      <c r="L610" s="1" t="s">
        <v>7</v>
      </c>
      <c r="M610" s="1" t="b">
        <v>0</v>
      </c>
      <c r="N610" s="1"/>
      <c r="O610">
        <v>0</v>
      </c>
      <c r="P610">
        <v>3</v>
      </c>
      <c r="Q610">
        <v>3</v>
      </c>
      <c r="R610" s="1">
        <f t="shared" si="137"/>
        <v>0</v>
      </c>
      <c r="S610" s="1">
        <f t="shared" si="138"/>
        <v>1</v>
      </c>
      <c r="T610" s="1">
        <f t="shared" si="139"/>
        <v>2</v>
      </c>
      <c r="U610" s="1">
        <f t="shared" si="140"/>
        <v>3</v>
      </c>
      <c r="V610" s="1">
        <f t="shared" si="141"/>
        <v>5</v>
      </c>
      <c r="W610" s="1" t="str">
        <f t="shared" si="142"/>
        <v>KCS</v>
      </c>
      <c r="X610" t="s">
        <v>39</v>
      </c>
      <c r="Y610" t="s">
        <v>149</v>
      </c>
      <c r="AA610" t="s">
        <v>304</v>
      </c>
      <c r="AB610">
        <v>2</v>
      </c>
      <c r="AJ610">
        <f t="shared" si="143"/>
        <v>101</v>
      </c>
      <c r="AK610">
        <f t="shared" si="144"/>
        <v>100</v>
      </c>
      <c r="AL610">
        <f t="shared" si="145"/>
        <v>5</v>
      </c>
      <c r="AM610">
        <f t="shared" si="135"/>
        <v>3</v>
      </c>
      <c r="AN610">
        <f t="shared" si="146"/>
        <v>5</v>
      </c>
      <c r="AO610">
        <f t="shared" si="147"/>
        <v>3</v>
      </c>
      <c r="AP610">
        <f t="shared" si="148"/>
        <v>0</v>
      </c>
      <c r="AQ610">
        <f t="shared" si="136"/>
        <v>0</v>
      </c>
      <c r="AR610">
        <f t="shared" si="149"/>
        <v>0</v>
      </c>
    </row>
  </sheetData>
  <autoFilter ref="A2:AR610" xr:uid="{9CFF0115-21BD-4357-961E-13BCB1E0CA9D}"/>
  <pageMargins left="0.7" right="0.7" top="0.75" bottom="0.75" header="0.3" footer="0.3"/>
  <headerFooter>
    <oddFooter>&amp;C_x000D_&amp;1#&amp;"Aptos"&amp;10&amp;K000000 Confidential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import_BRC_debug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Peterson, Alexander</cp:lastModifiedBy>
  <dcterms:created xsi:type="dcterms:W3CDTF">2026-08-04T18:56:12Z</dcterms:created>
  <dcterms:modified xsi:type="dcterms:W3CDTF">2026-08-04T20:47:34Z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a2094-5e22-4200-a94b-9c9c0cdafd91_Enabled">
    <vt:lpwstr>true</vt:lpwstr>
  </property>
  <property fmtid="{D5CDD505-2E9C-101B-9397-08002B2CF9AE}" pid="3" name="MSIP_Label_e8ba2094-5e22-4200-a94b-9c9c0cdafd91_SetDate">
    <vt:lpwstr>2026-08-04T19:00:17Z</vt:lpwstr>
  </property>
  <property fmtid="{D5CDD505-2E9C-101B-9397-08002B2CF9AE}" pid="4" name="MSIP_Label_e8ba2094-5e22-4200-a94b-9c9c0cdafd91_Method">
    <vt:lpwstr>Standard</vt:lpwstr>
  </property>
  <property fmtid="{D5CDD505-2E9C-101B-9397-08002B2CF9AE}" pid="5" name="MSIP_Label_e8ba2094-5e22-4200-a94b-9c9c0cdafd91_Name">
    <vt:lpwstr>Confidential Information</vt:lpwstr>
  </property>
  <property fmtid="{D5CDD505-2E9C-101B-9397-08002B2CF9AE}" pid="6" name="MSIP_Label_e8ba2094-5e22-4200-a94b-9c9c0cdafd91_SiteId">
    <vt:lpwstr>441d4a8f-7999-4d6a-9670-672cf8d03e35</vt:lpwstr>
  </property>
  <property fmtid="{D5CDD505-2E9C-101B-9397-08002B2CF9AE}" pid="7" name="MSIP_Label_e8ba2094-5e22-4200-a94b-9c9c0cdafd91_ActionId">
    <vt:lpwstr>db97385e-d977-46d8-becb-58a8f1bdad0e</vt:lpwstr>
  </property>
  <property fmtid="{D5CDD505-2E9C-101B-9397-08002B2CF9AE}" pid="8" name="MSIP_Label_e8ba2094-5e22-4200-a94b-9c9c0cdafd91_ContentBits">
    <vt:lpwstr>2</vt:lpwstr>
  </property>
  <property fmtid="{D5CDD505-2E9C-101B-9397-08002B2CF9AE}" pid="9" name="MSIP_Label_e8ba2094-5e22-4200-a94b-9c9c0cdafd91_Tag">
    <vt:lpwstr>10, 3, 0, 1</vt:lpwstr>
  </property>
</Properties>
</file>